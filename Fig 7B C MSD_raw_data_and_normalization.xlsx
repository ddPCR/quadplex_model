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ib-my.sharepoint.com/personal/lauren_tereshko_biogen_com/Documents/Desktop/Sent to Jake/"/>
    </mc:Choice>
  </mc:AlternateContent>
  <xr:revisionPtr revIDLastSave="34" documentId="8_{E2ED175A-14E2-4380-A054-0C13D74C770E}" xr6:coauthVersionLast="47" xr6:coauthVersionMax="47" xr10:uidLastSave="{07293E27-7EA9-4C38-8A55-1BDCEEFB9687}"/>
  <bookViews>
    <workbookView xWindow="-120" yWindow="-120" windowWidth="29040" windowHeight="15720" activeTab="3" xr2:uid="{BD4391DF-BC73-4294-900B-80C16BA989B3}"/>
  </bookViews>
  <sheets>
    <sheet name="raw_data" sheetId="2" r:id="rId1"/>
    <sheet name="normalized_data" sheetId="1" r:id="rId2"/>
    <sheet name="emax_from_prism" sheetId="3" r:id="rId3"/>
    <sheet name="avg_p1111_mod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1" l="1"/>
  <c r="AB27" i="1" s="1"/>
  <c r="AA26" i="1"/>
  <c r="Z26" i="1"/>
  <c r="Y26" i="1"/>
  <c r="U26" i="1"/>
  <c r="S26" i="1"/>
  <c r="R26" i="1"/>
  <c r="Q26" i="1"/>
  <c r="Z25" i="1"/>
  <c r="Y25" i="1"/>
  <c r="AA24" i="1"/>
  <c r="Z24" i="1"/>
  <c r="Y24" i="1"/>
  <c r="X24" i="1"/>
  <c r="W24" i="1"/>
  <c r="R24" i="1"/>
  <c r="Q24" i="1"/>
  <c r="Y23" i="1"/>
  <c r="W23" i="1"/>
  <c r="Q23" i="1"/>
  <c r="AB22" i="1"/>
  <c r="AA22" i="1"/>
  <c r="Z22" i="1"/>
  <c r="Y22" i="1"/>
  <c r="T22" i="1"/>
  <c r="S22" i="1"/>
  <c r="R22" i="1"/>
  <c r="Q22" i="1"/>
  <c r="AB21" i="1"/>
  <c r="Q21" i="1"/>
  <c r="AB20" i="1"/>
  <c r="AA20" i="1"/>
  <c r="Y20" i="1"/>
  <c r="X20" i="1"/>
  <c r="W20" i="1"/>
  <c r="V20" i="1"/>
  <c r="U20" i="1"/>
  <c r="T20" i="1"/>
  <c r="S20" i="1"/>
  <c r="B19" i="1"/>
  <c r="AB18" i="1" s="1"/>
  <c r="X18" i="1"/>
  <c r="W18" i="1"/>
  <c r="W11" i="1"/>
  <c r="V11" i="1"/>
  <c r="U11" i="1"/>
  <c r="B10" i="1"/>
  <c r="AA8" i="1" s="1"/>
  <c r="S14" i="1" l="1"/>
  <c r="T14" i="1"/>
  <c r="X15" i="1"/>
  <c r="Q14" i="1"/>
  <c r="W15" i="1"/>
  <c r="Z15" i="1"/>
  <c r="Q17" i="1"/>
  <c r="R17" i="1"/>
  <c r="U21" i="1"/>
  <c r="U24" i="1"/>
  <c r="AB26" i="1"/>
  <c r="X12" i="1"/>
  <c r="Y15" i="1"/>
  <c r="S11" i="1"/>
  <c r="S17" i="1"/>
  <c r="AA21" i="1"/>
  <c r="V24" i="1"/>
  <c r="Q27" i="1"/>
  <c r="W12" i="1"/>
  <c r="T11" i="1"/>
  <c r="T17" i="1"/>
  <c r="S2" i="1"/>
  <c r="AA9" i="1"/>
  <c r="X3" i="1"/>
  <c r="S6" i="1"/>
  <c r="AB4" i="1"/>
  <c r="U2" i="1"/>
  <c r="Y3" i="1"/>
  <c r="Q5" i="1"/>
  <c r="W6" i="1"/>
  <c r="Y8" i="1"/>
  <c r="Y4" i="1"/>
  <c r="U6" i="1"/>
  <c r="T2" i="1"/>
  <c r="W2" i="1"/>
  <c r="AA3" i="1"/>
  <c r="S5" i="1"/>
  <c r="AA6" i="1"/>
  <c r="Q9" i="1"/>
  <c r="T3" i="1"/>
  <c r="V2" i="1"/>
  <c r="T5" i="1"/>
  <c r="AB6" i="1"/>
  <c r="R9" i="1"/>
  <c r="V3" i="1"/>
  <c r="S8" i="1"/>
  <c r="Z6" i="1"/>
  <c r="X2" i="1"/>
  <c r="Y2" i="1"/>
  <c r="Q4" i="1"/>
  <c r="U5" i="1"/>
  <c r="Q7" i="1"/>
  <c r="S9" i="1"/>
  <c r="Y12" i="1"/>
  <c r="Y18" i="1"/>
  <c r="V21" i="1"/>
  <c r="R23" i="1"/>
  <c r="Q25" i="1"/>
  <c r="R27" i="1"/>
  <c r="AB7" i="1"/>
  <c r="R2" i="1"/>
  <c r="Z2" i="1"/>
  <c r="R4" i="1"/>
  <c r="V5" i="1"/>
  <c r="S7" i="1"/>
  <c r="T9" i="1"/>
  <c r="Z12" i="1"/>
  <c r="Z18" i="1"/>
  <c r="W21" i="1"/>
  <c r="S23" i="1"/>
  <c r="U25" i="1"/>
  <c r="S27" i="1"/>
  <c r="Q6" i="1"/>
  <c r="U3" i="1"/>
  <c r="W8" i="1"/>
  <c r="R5" i="1"/>
  <c r="AB3" i="1"/>
  <c r="AA2" i="1"/>
  <c r="S4" i="1"/>
  <c r="W5" i="1"/>
  <c r="U7" i="1"/>
  <c r="U9" i="1"/>
  <c r="X21" i="1"/>
  <c r="T23" i="1"/>
  <c r="V25" i="1"/>
  <c r="T27" i="1"/>
  <c r="X4" i="1"/>
  <c r="T6" i="1"/>
  <c r="V6" i="1"/>
  <c r="AB2" i="1"/>
  <c r="T4" i="1"/>
  <c r="X5" i="1"/>
  <c r="X7" i="1"/>
  <c r="V9" i="1"/>
  <c r="R14" i="1"/>
  <c r="Q20" i="1"/>
  <c r="Y21" i="1"/>
  <c r="U23" i="1"/>
  <c r="W25" i="1"/>
  <c r="U27" i="1"/>
  <c r="Z4" i="1"/>
  <c r="AA4" i="1"/>
  <c r="Z3" i="1"/>
  <c r="AB8" i="1"/>
  <c r="Q3" i="1"/>
  <c r="U4" i="1"/>
  <c r="Y5" i="1"/>
  <c r="Y7" i="1"/>
  <c r="W9" i="1"/>
  <c r="R20" i="1"/>
  <c r="Z21" i="1"/>
  <c r="V23" i="1"/>
  <c r="X25" i="1"/>
  <c r="V27" i="1"/>
  <c r="Q8" i="1"/>
  <c r="R3" i="1"/>
  <c r="V4" i="1"/>
  <c r="Z5" i="1"/>
  <c r="Z7" i="1"/>
  <c r="X9" i="1"/>
  <c r="Q2" i="1"/>
  <c r="R8" i="1"/>
  <c r="W3" i="1"/>
  <c r="S3" i="1"/>
  <c r="W4" i="1"/>
  <c r="AA5" i="1"/>
  <c r="AA7" i="1"/>
  <c r="Y9" i="1"/>
  <c r="V17" i="1"/>
  <c r="Y11" i="1"/>
  <c r="Q13" i="1"/>
  <c r="Q16" i="1"/>
  <c r="Y17" i="1"/>
  <c r="W14" i="1"/>
  <c r="Z11" i="1"/>
  <c r="R13" i="1"/>
  <c r="X14" i="1"/>
  <c r="R16" i="1"/>
  <c r="Z17" i="1"/>
  <c r="AA12" i="1"/>
  <c r="AA11" i="1"/>
  <c r="Y14" i="1"/>
  <c r="AA17" i="1"/>
  <c r="U17" i="1"/>
  <c r="AB15" i="1"/>
  <c r="AB17" i="1"/>
  <c r="AA15" i="1"/>
  <c r="Q12" i="1"/>
  <c r="X11" i="1"/>
  <c r="Z14" i="1"/>
  <c r="V13" i="1"/>
  <c r="R15" i="1"/>
  <c r="X16" i="1"/>
  <c r="R18" i="1"/>
  <c r="AB11" i="1"/>
  <c r="W16" i="1"/>
  <c r="R12" i="1"/>
  <c r="S12" i="1"/>
  <c r="Y13" i="1"/>
  <c r="S15" i="1"/>
  <c r="Y16" i="1"/>
  <c r="S18" i="1"/>
  <c r="AB12" i="1"/>
  <c r="V16" i="1"/>
  <c r="U13" i="1"/>
  <c r="T12" i="1"/>
  <c r="Z13" i="1"/>
  <c r="T15" i="1"/>
  <c r="Z16" i="1"/>
  <c r="T18" i="1"/>
  <c r="S24" i="1"/>
  <c r="AA25" i="1"/>
  <c r="W27" i="1"/>
  <c r="U14" i="1"/>
  <c r="U16" i="1"/>
  <c r="T13" i="1"/>
  <c r="Q15" i="1"/>
  <c r="X6" i="1"/>
  <c r="T8" i="1"/>
  <c r="Q11" i="1"/>
  <c r="U12" i="1"/>
  <c r="AA13" i="1"/>
  <c r="U15" i="1"/>
  <c r="AA16" i="1"/>
  <c r="U18" i="1"/>
  <c r="Z20" i="1"/>
  <c r="U22" i="1"/>
  <c r="T24" i="1"/>
  <c r="AB25" i="1"/>
  <c r="Y27" i="1"/>
  <c r="V14" i="1"/>
  <c r="S13" i="1"/>
  <c r="Q18" i="1"/>
  <c r="Y6" i="1"/>
  <c r="U8" i="1"/>
  <c r="R11" i="1"/>
  <c r="V12" i="1"/>
  <c r="AB13" i="1"/>
  <c r="V15" i="1"/>
  <c r="AB16" i="1"/>
  <c r="V18" i="1"/>
  <c r="R7" i="1"/>
  <c r="V8" i="1"/>
  <c r="Z9" i="1"/>
  <c r="X23" i="1"/>
  <c r="AB24" i="1"/>
  <c r="T26" i="1"/>
  <c r="X27" i="1"/>
  <c r="AB5" i="1"/>
  <c r="T7" i="1"/>
  <c r="X8" i="1"/>
  <c r="AB9" i="1"/>
  <c r="W13" i="1"/>
  <c r="AA14" i="1"/>
  <c r="S16" i="1"/>
  <c r="W17" i="1"/>
  <c r="AA18" i="1"/>
  <c r="R21" i="1"/>
  <c r="V22" i="1"/>
  <c r="Z23" i="1"/>
  <c r="R25" i="1"/>
  <c r="V26" i="1"/>
  <c r="Z27" i="1"/>
  <c r="X13" i="1"/>
  <c r="AB14" i="1"/>
  <c r="T16" i="1"/>
  <c r="X17" i="1"/>
  <c r="S21" i="1"/>
  <c r="W22" i="1"/>
  <c r="AA23" i="1"/>
  <c r="S25" i="1"/>
  <c r="W26" i="1"/>
  <c r="AA27" i="1"/>
  <c r="R6" i="1"/>
  <c r="V7" i="1"/>
  <c r="Z8" i="1"/>
  <c r="T21" i="1"/>
  <c r="X22" i="1"/>
  <c r="AB23" i="1"/>
  <c r="T25" i="1"/>
  <c r="X26" i="1"/>
  <c r="W7" i="1"/>
</calcChain>
</file>

<file path=xl/sharedStrings.xml><?xml version="1.0" encoding="utf-8"?>
<sst xmlns="http://schemas.openxmlformats.org/spreadsheetml/2006/main" count="85" uniqueCount="21">
  <si>
    <t>log(MOI)</t>
  </si>
  <si>
    <t>0 min control</t>
  </si>
  <si>
    <t>15 min</t>
  </si>
  <si>
    <t>30 min</t>
  </si>
  <si>
    <t>60 min</t>
  </si>
  <si>
    <t>Date</t>
  </si>
  <si>
    <t>0 min ctl</t>
  </si>
  <si>
    <t>AVG</t>
  </si>
  <si>
    <t>technical outliers excluded</t>
  </si>
  <si>
    <t>prob_1111</t>
  </si>
  <si>
    <t>AAV2-PRPF31;0 min UV</t>
  </si>
  <si>
    <t>rep1</t>
  </si>
  <si>
    <t>rep2</t>
  </si>
  <si>
    <t>rep3</t>
  </si>
  <si>
    <t>AAV2-PRPF31;15 min UV</t>
  </si>
  <si>
    <t>AAV2-PRPF31;30 min UV</t>
  </si>
  <si>
    <t>AAV2-PRPF31;60 min UV</t>
  </si>
  <si>
    <t>sample</t>
  </si>
  <si>
    <t>frag_type</t>
  </si>
  <si>
    <t>rep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</si>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</sst>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color rgb="FF0000FF"/>
      <name val="Arial"/>
    </font>
    <font>
      <sz val="10"/>
      <name val="Arial"/>
      <family val="2"/>
    </font>
    <font>
      <i/>
      <sz val="10"/>
      <color rgb="FF0000FF"/>
      <name val="Arial"/>
      <family val="2"/>
    </font>
    <font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5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44DE-5EB1-42FE-ACFF-D3ECA1317E8F}">
  <dimension ref="A1:P27"/>
  <sheetViews>
    <sheetView workbookViewId="0">
      <selection activeCell="N35" sqref="N35"/>
    </sheetView>
  </sheetViews>
  <sheetFormatPr defaultRowHeight="15" x14ac:dyDescent="0.25"/>
  <sheetData>
    <row r="1" spans="1:16" x14ac:dyDescent="0.25">
      <c r="A1" s="2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  <c r="L1" s="4"/>
      <c r="M1" s="4"/>
      <c r="N1" t="s">
        <v>5</v>
      </c>
    </row>
    <row r="2" spans="1:16" x14ac:dyDescent="0.25">
      <c r="A2" s="1">
        <v>250000</v>
      </c>
      <c r="B2" s="1">
        <v>456165</v>
      </c>
      <c r="C2" s="1">
        <v>459076</v>
      </c>
      <c r="D2" s="1">
        <v>465157</v>
      </c>
      <c r="E2" s="1">
        <v>214556</v>
      </c>
      <c r="F2" s="1">
        <v>225206</v>
      </c>
      <c r="G2" s="1">
        <v>220824</v>
      </c>
      <c r="H2" s="1">
        <v>149329</v>
      </c>
      <c r="I2" s="1">
        <v>163644</v>
      </c>
      <c r="J2" s="1">
        <v>150471</v>
      </c>
      <c r="K2" s="1">
        <v>75853</v>
      </c>
      <c r="L2" s="1">
        <v>83606</v>
      </c>
      <c r="M2" s="1">
        <v>78441</v>
      </c>
      <c r="N2" s="5">
        <v>45852</v>
      </c>
      <c r="P2" s="10" t="s">
        <v>8</v>
      </c>
    </row>
    <row r="3" spans="1:16" x14ac:dyDescent="0.25">
      <c r="A3" s="1">
        <v>45500</v>
      </c>
      <c r="B3" s="1">
        <v>377714</v>
      </c>
      <c r="C3" s="1">
        <v>378223</v>
      </c>
      <c r="D3" s="1">
        <v>370832</v>
      </c>
      <c r="E3" s="1">
        <v>149202</v>
      </c>
      <c r="F3" s="1">
        <v>155136</v>
      </c>
      <c r="G3" s="1">
        <v>142557</v>
      </c>
      <c r="H3" s="1">
        <v>93248</v>
      </c>
      <c r="I3" s="1">
        <v>87954</v>
      </c>
      <c r="J3" s="1">
        <v>80053</v>
      </c>
      <c r="K3" s="1">
        <v>43164</v>
      </c>
      <c r="L3" s="1">
        <v>43250</v>
      </c>
      <c r="M3" s="1">
        <v>39888</v>
      </c>
      <c r="N3" s="5">
        <v>45852</v>
      </c>
    </row>
    <row r="4" spans="1:16" x14ac:dyDescent="0.25">
      <c r="A4" s="1">
        <v>8260</v>
      </c>
      <c r="B4" s="1">
        <v>181666</v>
      </c>
      <c r="C4" s="1">
        <v>202951</v>
      </c>
      <c r="D4" s="1">
        <v>212295</v>
      </c>
      <c r="E4" s="1">
        <v>54836</v>
      </c>
      <c r="F4" s="1">
        <v>51637</v>
      </c>
      <c r="G4" s="1">
        <v>59354</v>
      </c>
      <c r="H4" s="1">
        <v>35915</v>
      </c>
      <c r="I4" s="1">
        <v>35164</v>
      </c>
      <c r="J4" s="1">
        <v>34747</v>
      </c>
      <c r="K4" s="1">
        <v>16527</v>
      </c>
      <c r="L4" s="1">
        <v>15712</v>
      </c>
      <c r="M4" s="1">
        <v>14670</v>
      </c>
      <c r="N4" s="5">
        <v>45852</v>
      </c>
    </row>
    <row r="5" spans="1:16" x14ac:dyDescent="0.25">
      <c r="A5" s="1">
        <v>1500</v>
      </c>
      <c r="B5" s="1">
        <v>47622</v>
      </c>
      <c r="C5" s="1">
        <v>47667</v>
      </c>
      <c r="D5" s="1">
        <v>48295</v>
      </c>
      <c r="E5" s="1">
        <v>9939</v>
      </c>
      <c r="F5" s="1">
        <v>12379</v>
      </c>
      <c r="G5" s="1">
        <v>9592</v>
      </c>
      <c r="H5" s="1">
        <v>8258</v>
      </c>
      <c r="I5" s="1">
        <v>8252</v>
      </c>
      <c r="J5" s="1">
        <v>7152</v>
      </c>
      <c r="K5" s="1">
        <v>5739</v>
      </c>
      <c r="L5" s="1">
        <v>5986</v>
      </c>
      <c r="M5" s="1">
        <v>5623</v>
      </c>
      <c r="N5" s="5">
        <v>45852</v>
      </c>
    </row>
    <row r="6" spans="1:16" x14ac:dyDescent="0.25">
      <c r="A6" s="1">
        <v>273</v>
      </c>
      <c r="B6" s="1">
        <v>14414</v>
      </c>
      <c r="C6" s="1">
        <v>12004</v>
      </c>
      <c r="D6" s="1">
        <v>13597</v>
      </c>
      <c r="E6" s="1">
        <v>5977</v>
      </c>
      <c r="F6" s="1">
        <v>6078</v>
      </c>
      <c r="G6" s="1">
        <v>5928</v>
      </c>
      <c r="H6" s="1">
        <v>6178</v>
      </c>
      <c r="I6" s="1">
        <v>4762</v>
      </c>
      <c r="J6" s="1">
        <v>5176</v>
      </c>
      <c r="K6" s="1">
        <v>4785</v>
      </c>
      <c r="L6" s="1">
        <v>4394</v>
      </c>
      <c r="M6" s="1">
        <v>4756</v>
      </c>
      <c r="N6" s="5">
        <v>45852</v>
      </c>
    </row>
    <row r="7" spans="1:16" x14ac:dyDescent="0.25">
      <c r="A7" s="1">
        <v>49.7</v>
      </c>
      <c r="B7" s="1">
        <v>7048</v>
      </c>
      <c r="C7" s="1">
        <v>4503</v>
      </c>
      <c r="D7" s="1">
        <v>6871</v>
      </c>
      <c r="E7" s="1">
        <v>5171</v>
      </c>
      <c r="F7" s="1">
        <v>5534</v>
      </c>
      <c r="G7" s="3">
        <v>3212</v>
      </c>
      <c r="H7" s="1">
        <v>4551</v>
      </c>
      <c r="I7" s="1">
        <v>4461</v>
      </c>
      <c r="J7" s="1">
        <v>3835</v>
      </c>
      <c r="K7" s="1">
        <v>4076</v>
      </c>
      <c r="L7" s="1">
        <v>3432</v>
      </c>
      <c r="M7" s="1">
        <v>3507</v>
      </c>
      <c r="N7" s="5">
        <v>45852</v>
      </c>
    </row>
    <row r="8" spans="1:16" x14ac:dyDescent="0.25">
      <c r="A8" s="1">
        <v>9.0299999999999994</v>
      </c>
      <c r="B8" s="1">
        <v>8489</v>
      </c>
      <c r="C8" s="1">
        <v>7825</v>
      </c>
      <c r="D8" s="3">
        <v>13502</v>
      </c>
      <c r="E8" s="1">
        <v>5314</v>
      </c>
      <c r="F8" s="1">
        <v>5395</v>
      </c>
      <c r="G8" s="1">
        <v>8153</v>
      </c>
      <c r="H8" s="1">
        <v>5551</v>
      </c>
      <c r="I8" s="1">
        <v>5997</v>
      </c>
      <c r="J8" s="1">
        <v>7574</v>
      </c>
      <c r="K8" s="1">
        <v>4735</v>
      </c>
      <c r="L8" s="1">
        <v>5414</v>
      </c>
      <c r="M8" s="1">
        <v>7518</v>
      </c>
      <c r="N8" s="5">
        <v>45852</v>
      </c>
    </row>
    <row r="9" spans="1:16" x14ac:dyDescent="0.25">
      <c r="A9" s="1">
        <v>1.64</v>
      </c>
      <c r="B9" s="1">
        <v>7037</v>
      </c>
      <c r="C9" s="1">
        <v>6768</v>
      </c>
      <c r="D9" s="1">
        <v>7252</v>
      </c>
      <c r="E9" s="1">
        <v>4915</v>
      </c>
      <c r="F9" s="1">
        <v>4871</v>
      </c>
      <c r="G9" s="1">
        <v>4689</v>
      </c>
      <c r="H9" s="1">
        <v>4776</v>
      </c>
      <c r="I9" s="1">
        <v>4881</v>
      </c>
      <c r="J9" s="1">
        <v>4592</v>
      </c>
      <c r="K9" s="1">
        <v>4506</v>
      </c>
      <c r="L9" s="1">
        <v>4462</v>
      </c>
      <c r="M9" s="1">
        <v>4591</v>
      </c>
      <c r="N9" s="5">
        <v>45852</v>
      </c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6" x14ac:dyDescent="0.25">
      <c r="A11" s="1">
        <v>250000</v>
      </c>
      <c r="B11" s="1">
        <v>341270</v>
      </c>
      <c r="C11" s="1">
        <v>321124</v>
      </c>
      <c r="D11" s="1">
        <v>326827</v>
      </c>
      <c r="E11" s="1">
        <v>140994</v>
      </c>
      <c r="F11" s="1">
        <v>138776</v>
      </c>
      <c r="G11" s="1">
        <v>192810</v>
      </c>
      <c r="H11" s="1">
        <v>119269</v>
      </c>
      <c r="I11" s="1">
        <v>107399</v>
      </c>
      <c r="J11" s="1">
        <v>154692</v>
      </c>
      <c r="K11" s="1">
        <v>14560</v>
      </c>
      <c r="L11" s="1">
        <v>12922</v>
      </c>
      <c r="M11" s="1">
        <v>13813</v>
      </c>
      <c r="N11" s="5">
        <v>45873</v>
      </c>
    </row>
    <row r="12" spans="1:16" x14ac:dyDescent="0.25">
      <c r="A12" s="1">
        <v>45500</v>
      </c>
      <c r="B12" s="1">
        <v>248752</v>
      </c>
      <c r="C12" s="1">
        <v>223330</v>
      </c>
      <c r="D12" s="1">
        <v>200280</v>
      </c>
      <c r="E12" s="1">
        <v>66972</v>
      </c>
      <c r="F12" s="1">
        <v>64778</v>
      </c>
      <c r="G12" s="1">
        <v>59992</v>
      </c>
      <c r="H12" s="1">
        <v>59765</v>
      </c>
      <c r="I12" s="1">
        <v>52183</v>
      </c>
      <c r="J12" s="1">
        <v>44382</v>
      </c>
      <c r="K12" s="1">
        <v>6583</v>
      </c>
      <c r="L12" s="1">
        <v>6753</v>
      </c>
      <c r="M12" s="1">
        <v>5238</v>
      </c>
      <c r="N12" s="5">
        <v>45873</v>
      </c>
    </row>
    <row r="13" spans="1:16" x14ac:dyDescent="0.25">
      <c r="A13" s="1">
        <v>8260</v>
      </c>
      <c r="B13" s="1">
        <v>78673</v>
      </c>
      <c r="C13" s="1">
        <v>73630</v>
      </c>
      <c r="D13" s="1">
        <v>56938</v>
      </c>
      <c r="E13" s="1">
        <v>16672</v>
      </c>
      <c r="F13" s="1">
        <v>14459</v>
      </c>
      <c r="G13" s="1">
        <v>12018</v>
      </c>
      <c r="H13" s="1">
        <v>13904</v>
      </c>
      <c r="I13" s="1">
        <v>12776</v>
      </c>
      <c r="J13" s="1">
        <v>10451</v>
      </c>
      <c r="K13" s="1">
        <v>3688</v>
      </c>
      <c r="L13" s="1">
        <v>3398</v>
      </c>
      <c r="M13" s="1">
        <v>3135</v>
      </c>
      <c r="N13" s="5">
        <v>45873</v>
      </c>
    </row>
    <row r="14" spans="1:16" x14ac:dyDescent="0.25">
      <c r="A14" s="1">
        <v>1500</v>
      </c>
      <c r="B14" s="1">
        <v>16803</v>
      </c>
      <c r="C14" s="1">
        <v>12824</v>
      </c>
      <c r="D14" s="1">
        <v>12586</v>
      </c>
      <c r="E14" s="1">
        <v>3758</v>
      </c>
      <c r="F14" s="1">
        <v>3995</v>
      </c>
      <c r="G14" s="1">
        <v>3958</v>
      </c>
      <c r="H14" s="1">
        <v>3534</v>
      </c>
      <c r="I14" s="1">
        <v>3874</v>
      </c>
      <c r="J14" s="1">
        <v>3982</v>
      </c>
      <c r="K14" s="1">
        <v>2743</v>
      </c>
      <c r="L14" s="1">
        <v>2890</v>
      </c>
      <c r="M14" s="1">
        <v>2523</v>
      </c>
      <c r="N14" s="5">
        <v>45873</v>
      </c>
    </row>
    <row r="15" spans="1:16" x14ac:dyDescent="0.25">
      <c r="A15" s="1">
        <v>273</v>
      </c>
      <c r="B15" s="1">
        <v>4411</v>
      </c>
      <c r="C15" s="1">
        <v>4668</v>
      </c>
      <c r="D15" s="1">
        <v>4357</v>
      </c>
      <c r="E15" s="1">
        <v>3168</v>
      </c>
      <c r="F15" s="1">
        <v>3028</v>
      </c>
      <c r="G15" s="1">
        <v>2572</v>
      </c>
      <c r="H15" s="1">
        <v>3051</v>
      </c>
      <c r="I15" s="1">
        <v>3013</v>
      </c>
      <c r="J15" s="1">
        <v>2930</v>
      </c>
      <c r="K15" s="1">
        <v>2738</v>
      </c>
      <c r="L15" s="1">
        <v>2746</v>
      </c>
      <c r="M15" s="1">
        <v>2578</v>
      </c>
      <c r="N15" s="5">
        <v>45873</v>
      </c>
    </row>
    <row r="16" spans="1:16" x14ac:dyDescent="0.25">
      <c r="A16" s="1">
        <v>49.7</v>
      </c>
      <c r="B16" s="1">
        <v>2941</v>
      </c>
      <c r="C16" s="1">
        <v>3238</v>
      </c>
      <c r="D16" s="1">
        <v>2970</v>
      </c>
      <c r="E16" s="1">
        <v>2986</v>
      </c>
      <c r="F16" s="1">
        <v>2929</v>
      </c>
      <c r="G16" s="1">
        <v>2567</v>
      </c>
      <c r="H16" s="1">
        <v>2777</v>
      </c>
      <c r="I16" s="1">
        <v>2922</v>
      </c>
      <c r="J16" s="1">
        <v>2730</v>
      </c>
      <c r="K16" s="1">
        <v>2696</v>
      </c>
      <c r="L16" s="1">
        <v>2606</v>
      </c>
      <c r="M16" s="1">
        <v>2580</v>
      </c>
      <c r="N16" s="5">
        <v>45873</v>
      </c>
    </row>
    <row r="17" spans="1:14" x14ac:dyDescent="0.25">
      <c r="A17" s="1">
        <v>9.0299999999999994</v>
      </c>
      <c r="B17" s="1">
        <v>2694</v>
      </c>
      <c r="C17" s="1">
        <v>2841</v>
      </c>
      <c r="D17" s="1">
        <v>2967</v>
      </c>
      <c r="E17" s="1">
        <v>3108</v>
      </c>
      <c r="F17" s="1">
        <v>2838</v>
      </c>
      <c r="G17" s="1">
        <v>2943</v>
      </c>
      <c r="H17" s="1">
        <v>2817</v>
      </c>
      <c r="I17" s="1">
        <v>2846</v>
      </c>
      <c r="J17" s="1">
        <v>2603</v>
      </c>
      <c r="K17" s="1">
        <v>2937</v>
      </c>
      <c r="L17" s="1">
        <v>2861</v>
      </c>
      <c r="M17" s="1">
        <v>2583</v>
      </c>
      <c r="N17" s="5">
        <v>45873</v>
      </c>
    </row>
    <row r="18" spans="1:14" x14ac:dyDescent="0.25">
      <c r="A18" s="1">
        <v>1.64</v>
      </c>
      <c r="B18" s="1">
        <v>3255</v>
      </c>
      <c r="C18" s="1">
        <v>2987</v>
      </c>
      <c r="D18" s="1">
        <v>2483</v>
      </c>
      <c r="E18" s="1">
        <v>2944</v>
      </c>
      <c r="F18" s="1">
        <v>2995</v>
      </c>
      <c r="G18" s="1">
        <v>2351</v>
      </c>
      <c r="H18" s="1">
        <v>3256</v>
      </c>
      <c r="I18" s="1">
        <v>2455</v>
      </c>
      <c r="J18" s="1">
        <v>2371</v>
      </c>
      <c r="K18" s="1">
        <v>3123</v>
      </c>
      <c r="L18" s="1">
        <v>2580</v>
      </c>
      <c r="M18" s="1">
        <v>2148</v>
      </c>
      <c r="N18" s="5">
        <v>45873</v>
      </c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4" x14ac:dyDescent="0.25">
      <c r="A20" s="1">
        <v>250000</v>
      </c>
      <c r="B20" s="1">
        <v>365220</v>
      </c>
      <c r="C20" s="1">
        <v>364034</v>
      </c>
      <c r="D20" s="1">
        <v>354843</v>
      </c>
      <c r="E20" s="1">
        <v>240016</v>
      </c>
      <c r="F20" s="1">
        <v>227468</v>
      </c>
      <c r="G20" s="1">
        <v>220104</v>
      </c>
      <c r="H20" s="1">
        <v>178712</v>
      </c>
      <c r="I20" s="1">
        <v>175336</v>
      </c>
      <c r="J20" s="1">
        <v>158472</v>
      </c>
      <c r="K20" s="1">
        <v>29884</v>
      </c>
      <c r="L20" s="1">
        <v>29740</v>
      </c>
      <c r="M20" s="3">
        <v>21768</v>
      </c>
      <c r="N20" s="5">
        <v>45875</v>
      </c>
    </row>
    <row r="21" spans="1:14" x14ac:dyDescent="0.25">
      <c r="A21" s="1">
        <v>45500</v>
      </c>
      <c r="B21" s="1">
        <v>296763</v>
      </c>
      <c r="C21" s="1">
        <v>285230</v>
      </c>
      <c r="D21" s="1">
        <v>281365</v>
      </c>
      <c r="E21" s="1">
        <v>152791</v>
      </c>
      <c r="F21" s="1">
        <v>148413</v>
      </c>
      <c r="G21" s="1">
        <v>146459</v>
      </c>
      <c r="H21" s="1">
        <v>105832</v>
      </c>
      <c r="I21" s="1">
        <v>105481</v>
      </c>
      <c r="J21" s="1">
        <v>107709</v>
      </c>
      <c r="K21" s="1">
        <v>14288</v>
      </c>
      <c r="L21" s="1">
        <v>14567</v>
      </c>
      <c r="M21" s="1">
        <v>12596</v>
      </c>
      <c r="N21" s="5">
        <v>45875</v>
      </c>
    </row>
    <row r="22" spans="1:14" x14ac:dyDescent="0.25">
      <c r="A22" s="1">
        <v>8260</v>
      </c>
      <c r="B22" s="1">
        <v>142971</v>
      </c>
      <c r="C22" s="1">
        <v>139438</v>
      </c>
      <c r="D22" s="1">
        <v>143757</v>
      </c>
      <c r="E22" s="1">
        <v>49078</v>
      </c>
      <c r="F22" s="1">
        <v>43992</v>
      </c>
      <c r="G22" s="1">
        <v>45793</v>
      </c>
      <c r="H22" s="1">
        <v>35413</v>
      </c>
      <c r="I22" s="1">
        <v>31579</v>
      </c>
      <c r="J22" s="1">
        <v>36081</v>
      </c>
      <c r="K22" s="1">
        <v>5771</v>
      </c>
      <c r="L22" s="1">
        <v>5761</v>
      </c>
      <c r="M22" s="1">
        <v>5376</v>
      </c>
      <c r="N22" s="5">
        <v>45875</v>
      </c>
    </row>
    <row r="23" spans="1:14" x14ac:dyDescent="0.25">
      <c r="A23" s="1">
        <v>1500</v>
      </c>
      <c r="B23" s="1">
        <v>30550</v>
      </c>
      <c r="C23" s="1">
        <v>27849</v>
      </c>
      <c r="D23" s="1">
        <v>28794</v>
      </c>
      <c r="E23" s="1">
        <v>9443</v>
      </c>
      <c r="F23" s="1">
        <v>7022</v>
      </c>
      <c r="G23" s="1">
        <v>7538</v>
      </c>
      <c r="H23" s="1">
        <v>6598</v>
      </c>
      <c r="I23" s="1">
        <v>5988</v>
      </c>
      <c r="J23" s="1">
        <v>5860</v>
      </c>
      <c r="K23" s="1">
        <v>2951</v>
      </c>
      <c r="L23" s="1">
        <v>3113</v>
      </c>
      <c r="M23" s="1">
        <v>3244</v>
      </c>
      <c r="N23" s="5">
        <v>45875</v>
      </c>
    </row>
    <row r="24" spans="1:14" x14ac:dyDescent="0.25">
      <c r="A24" s="1">
        <v>273</v>
      </c>
      <c r="B24" s="1">
        <v>7038</v>
      </c>
      <c r="C24" s="1">
        <v>6917</v>
      </c>
      <c r="D24" s="1">
        <v>6457</v>
      </c>
      <c r="E24" s="1">
        <v>3914</v>
      </c>
      <c r="F24" s="1">
        <v>3660</v>
      </c>
      <c r="G24" s="1">
        <v>3425</v>
      </c>
      <c r="H24" s="1">
        <v>3415</v>
      </c>
      <c r="I24" s="1">
        <v>3260</v>
      </c>
      <c r="J24" s="1">
        <v>3156</v>
      </c>
      <c r="K24" s="1">
        <v>2790</v>
      </c>
      <c r="L24" s="1">
        <v>3080</v>
      </c>
      <c r="M24" s="1">
        <v>2236</v>
      </c>
      <c r="N24" s="5">
        <v>45875</v>
      </c>
    </row>
    <row r="25" spans="1:14" x14ac:dyDescent="0.25">
      <c r="A25" s="1">
        <v>49.7</v>
      </c>
      <c r="B25" s="1">
        <v>3398</v>
      </c>
      <c r="C25" s="1">
        <v>3501</v>
      </c>
      <c r="D25" s="1">
        <v>3592</v>
      </c>
      <c r="E25" s="1">
        <v>3162</v>
      </c>
      <c r="F25" s="1">
        <v>3228</v>
      </c>
      <c r="G25" s="1">
        <v>3104</v>
      </c>
      <c r="H25" s="1">
        <v>3020</v>
      </c>
      <c r="I25" s="1">
        <v>3083</v>
      </c>
      <c r="J25" s="1">
        <v>3063</v>
      </c>
      <c r="K25" s="1">
        <v>2830</v>
      </c>
      <c r="L25" s="1">
        <v>2945</v>
      </c>
      <c r="M25" s="1">
        <v>2563</v>
      </c>
      <c r="N25" s="5">
        <v>45875</v>
      </c>
    </row>
    <row r="26" spans="1:14" x14ac:dyDescent="0.25">
      <c r="A26" s="1">
        <v>9.0299999999999994</v>
      </c>
      <c r="B26" s="1">
        <v>3001</v>
      </c>
      <c r="C26" s="1">
        <v>2919</v>
      </c>
      <c r="D26" s="1">
        <v>3216</v>
      </c>
      <c r="E26" s="1">
        <v>3002</v>
      </c>
      <c r="F26" s="1">
        <v>2933</v>
      </c>
      <c r="G26" s="1">
        <v>3129</v>
      </c>
      <c r="H26" s="1">
        <v>2966</v>
      </c>
      <c r="I26" s="1">
        <v>2889</v>
      </c>
      <c r="J26" s="1">
        <v>2970</v>
      </c>
      <c r="K26" s="1">
        <v>2935</v>
      </c>
      <c r="L26" s="1">
        <v>2882</v>
      </c>
      <c r="M26" s="1">
        <v>2985</v>
      </c>
      <c r="N26" s="5">
        <v>45875</v>
      </c>
    </row>
    <row r="27" spans="1:14" x14ac:dyDescent="0.25">
      <c r="A27" s="1">
        <v>1.64</v>
      </c>
      <c r="B27" s="1">
        <v>3311</v>
      </c>
      <c r="C27" s="1">
        <v>2859</v>
      </c>
      <c r="D27" s="1">
        <v>2879</v>
      </c>
      <c r="E27" s="1">
        <v>3336</v>
      </c>
      <c r="F27" s="1">
        <v>3185</v>
      </c>
      <c r="G27" s="1">
        <v>2927</v>
      </c>
      <c r="H27" s="1">
        <v>3039</v>
      </c>
      <c r="I27" s="1">
        <v>2987</v>
      </c>
      <c r="J27" s="1">
        <v>3074</v>
      </c>
      <c r="K27" s="1">
        <v>2947</v>
      </c>
      <c r="L27" s="1">
        <v>3030</v>
      </c>
      <c r="M27" s="1">
        <v>2794</v>
      </c>
      <c r="N27" s="5">
        <v>45875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48DF-0F18-464F-855C-A2DF62F12176}">
  <dimension ref="A1:AB28"/>
  <sheetViews>
    <sheetView workbookViewId="0">
      <selection activeCell="N23" activeCellId="2" sqref="N8 N13 N23"/>
    </sheetView>
  </sheetViews>
  <sheetFormatPr defaultRowHeight="15" x14ac:dyDescent="0.25"/>
  <sheetData>
    <row r="1" spans="1:28" x14ac:dyDescent="0.25">
      <c r="A1" s="6" t="s">
        <v>0</v>
      </c>
      <c r="B1" s="6" t="s">
        <v>6</v>
      </c>
      <c r="C1" s="6" t="s">
        <v>6</v>
      </c>
      <c r="D1" s="6" t="s">
        <v>6</v>
      </c>
      <c r="E1" s="6" t="s">
        <v>2</v>
      </c>
      <c r="F1" s="6" t="s">
        <v>2</v>
      </c>
      <c r="G1" s="6" t="s">
        <v>2</v>
      </c>
      <c r="H1" s="6" t="s">
        <v>3</v>
      </c>
      <c r="I1" s="6" t="s">
        <v>3</v>
      </c>
      <c r="J1" s="6" t="s">
        <v>3</v>
      </c>
      <c r="K1" s="6" t="s">
        <v>4</v>
      </c>
      <c r="L1" s="6" t="s">
        <v>4</v>
      </c>
      <c r="M1" s="6" t="s">
        <v>4</v>
      </c>
      <c r="N1" s="6" t="s">
        <v>5</v>
      </c>
      <c r="O1" s="6"/>
      <c r="P1" s="6" t="s">
        <v>5</v>
      </c>
      <c r="Q1" s="6" t="s">
        <v>6</v>
      </c>
      <c r="R1" s="6" t="s">
        <v>6</v>
      </c>
      <c r="S1" s="6" t="s">
        <v>6</v>
      </c>
      <c r="T1" s="6" t="s">
        <v>2</v>
      </c>
      <c r="U1" s="6" t="s">
        <v>2</v>
      </c>
      <c r="V1" s="6" t="s">
        <v>2</v>
      </c>
      <c r="W1" s="6" t="s">
        <v>3</v>
      </c>
      <c r="X1" s="6" t="s">
        <v>3</v>
      </c>
      <c r="Y1" s="6" t="s">
        <v>3</v>
      </c>
      <c r="Z1" s="6" t="s">
        <v>4</v>
      </c>
      <c r="AA1" s="6" t="s">
        <v>4</v>
      </c>
      <c r="AB1" s="6" t="s">
        <v>4</v>
      </c>
    </row>
    <row r="2" spans="1:28" x14ac:dyDescent="0.25">
      <c r="A2" s="7">
        <v>250000</v>
      </c>
      <c r="B2" s="7">
        <v>456165</v>
      </c>
      <c r="C2" s="7">
        <v>459076</v>
      </c>
      <c r="D2" s="7">
        <v>465157</v>
      </c>
      <c r="E2" s="7">
        <v>214556</v>
      </c>
      <c r="F2" s="7">
        <v>225206</v>
      </c>
      <c r="G2" s="7">
        <v>220824</v>
      </c>
      <c r="H2" s="7">
        <v>149329</v>
      </c>
      <c r="I2" s="7">
        <v>163644</v>
      </c>
      <c r="J2" s="7">
        <v>150471</v>
      </c>
      <c r="K2" s="7">
        <v>75853</v>
      </c>
      <c r="L2" s="7">
        <v>83606</v>
      </c>
      <c r="M2" s="7">
        <v>78441</v>
      </c>
      <c r="N2" s="8">
        <v>45852</v>
      </c>
      <c r="O2" s="8"/>
      <c r="P2" s="8">
        <v>45852</v>
      </c>
      <c r="Q2">
        <f>B2/$B$10</f>
        <v>0.99137712456842153</v>
      </c>
      <c r="R2">
        <f t="shared" ref="R2:AB9" si="0">C2/$B$10</f>
        <v>0.99770356085708611</v>
      </c>
      <c r="S2">
        <f t="shared" si="0"/>
        <v>1.0109193145744921</v>
      </c>
      <c r="T2">
        <f t="shared" si="0"/>
        <v>0.46629160575428247</v>
      </c>
      <c r="U2">
        <f t="shared" si="0"/>
        <v>0.48943710437134796</v>
      </c>
      <c r="V2">
        <f t="shared" si="0"/>
        <v>0.47991376400139668</v>
      </c>
      <c r="W2">
        <f t="shared" si="0"/>
        <v>0.32453466319134044</v>
      </c>
      <c r="X2">
        <f t="shared" si="0"/>
        <v>0.35564525593343366</v>
      </c>
      <c r="Y2">
        <f t="shared" si="0"/>
        <v>0.32701655609469149</v>
      </c>
      <c r="Z2">
        <f t="shared" si="0"/>
        <v>0.16485028230988452</v>
      </c>
      <c r="AA2">
        <f t="shared" si="0"/>
        <v>0.18169977064585721</v>
      </c>
      <c r="AB2">
        <f t="shared" si="0"/>
        <v>0.1704747471381442</v>
      </c>
    </row>
    <row r="3" spans="1:28" x14ac:dyDescent="0.25">
      <c r="A3" s="7">
        <v>45500</v>
      </c>
      <c r="B3" s="7">
        <v>377714</v>
      </c>
      <c r="C3" s="7">
        <v>378223</v>
      </c>
      <c r="D3" s="7">
        <v>370832</v>
      </c>
      <c r="E3" s="7">
        <v>149202</v>
      </c>
      <c r="F3" s="7">
        <v>155136</v>
      </c>
      <c r="G3" s="7">
        <v>142557</v>
      </c>
      <c r="H3" s="7">
        <v>93248</v>
      </c>
      <c r="I3" s="7">
        <v>87954</v>
      </c>
      <c r="J3" s="7">
        <v>80053</v>
      </c>
      <c r="K3" s="7">
        <v>43164</v>
      </c>
      <c r="L3" s="7">
        <v>43250</v>
      </c>
      <c r="M3" s="7">
        <v>39888</v>
      </c>
      <c r="N3" s="8">
        <v>45852</v>
      </c>
      <c r="O3" s="8"/>
      <c r="P3" s="8">
        <v>45852</v>
      </c>
      <c r="Q3">
        <f t="shared" ref="Q3:Q9" si="1">B3/$B$10</f>
        <v>0.82088064456772614</v>
      </c>
      <c r="R3">
        <f t="shared" si="0"/>
        <v>0.821986847271584</v>
      </c>
      <c r="S3">
        <f t="shared" si="0"/>
        <v>0.805924088559966</v>
      </c>
      <c r="T3">
        <f t="shared" si="0"/>
        <v>0.32425865583693975</v>
      </c>
      <c r="U3">
        <f t="shared" si="0"/>
        <v>0.33715493647484274</v>
      </c>
      <c r="V3">
        <f t="shared" si="0"/>
        <v>0.30981716867164394</v>
      </c>
      <c r="W3">
        <f t="shared" si="0"/>
        <v>0.20265459671775821</v>
      </c>
      <c r="X3">
        <f t="shared" si="0"/>
        <v>0.19114921928313428</v>
      </c>
      <c r="Y3">
        <f t="shared" si="0"/>
        <v>0.17397808458140332</v>
      </c>
      <c r="Z3">
        <f t="shared" si="0"/>
        <v>9.3807727916151717E-2</v>
      </c>
      <c r="AA3">
        <f t="shared" si="0"/>
        <v>9.3994630534092335E-2</v>
      </c>
      <c r="AB3">
        <f t="shared" si="0"/>
        <v>8.6688042144367053E-2</v>
      </c>
    </row>
    <row r="4" spans="1:28" x14ac:dyDescent="0.25">
      <c r="A4" s="7">
        <v>8260</v>
      </c>
      <c r="B4" s="7">
        <v>181666</v>
      </c>
      <c r="C4" s="7">
        <v>202951</v>
      </c>
      <c r="D4" s="7">
        <v>212295</v>
      </c>
      <c r="E4" s="7">
        <v>54836</v>
      </c>
      <c r="F4" s="7">
        <v>51637</v>
      </c>
      <c r="G4" s="7">
        <v>59354</v>
      </c>
      <c r="H4" s="7">
        <v>35915</v>
      </c>
      <c r="I4" s="7">
        <v>35164</v>
      </c>
      <c r="J4" s="7">
        <v>34747</v>
      </c>
      <c r="K4" s="7">
        <v>16527</v>
      </c>
      <c r="L4" s="7">
        <v>15712</v>
      </c>
      <c r="M4" s="7">
        <v>14670</v>
      </c>
      <c r="N4" s="8">
        <v>45852</v>
      </c>
      <c r="O4" s="8"/>
      <c r="P4" s="8">
        <v>45852</v>
      </c>
      <c r="Q4">
        <f t="shared" si="1"/>
        <v>0.39481222082326978</v>
      </c>
      <c r="R4">
        <f t="shared" si="0"/>
        <v>0.44107061876357395</v>
      </c>
      <c r="S4">
        <f t="shared" si="0"/>
        <v>0.46137780553144814</v>
      </c>
      <c r="T4">
        <f t="shared" si="0"/>
        <v>0.11917432508595346</v>
      </c>
      <c r="U4">
        <f t="shared" si="0"/>
        <v>0.11222198235581332</v>
      </c>
      <c r="V4">
        <f t="shared" si="0"/>
        <v>0.12899323238660154</v>
      </c>
      <c r="W4">
        <f t="shared" si="0"/>
        <v>7.8053575852761306E-2</v>
      </c>
      <c r="X4">
        <f t="shared" si="0"/>
        <v>7.6421437875163534E-2</v>
      </c>
      <c r="Y4">
        <f t="shared" si="0"/>
        <v>7.5515177506777026E-2</v>
      </c>
      <c r="Z4">
        <f t="shared" si="0"/>
        <v>3.591790193842645E-2</v>
      </c>
      <c r="AA4">
        <f t="shared" si="0"/>
        <v>3.414667364050078E-2</v>
      </c>
      <c r="AB4">
        <f t="shared" si="0"/>
        <v>3.1882109362662073E-2</v>
      </c>
    </row>
    <row r="5" spans="1:28" x14ac:dyDescent="0.25">
      <c r="A5" s="7">
        <v>1500</v>
      </c>
      <c r="B5" s="7">
        <v>47622</v>
      </c>
      <c r="C5" s="7">
        <v>47667</v>
      </c>
      <c r="D5" s="7">
        <v>48295</v>
      </c>
      <c r="E5" s="7">
        <v>9939</v>
      </c>
      <c r="F5" s="7">
        <v>12379</v>
      </c>
      <c r="G5" s="7">
        <v>9592</v>
      </c>
      <c r="H5" s="7">
        <v>8258</v>
      </c>
      <c r="I5" s="7">
        <v>8252</v>
      </c>
      <c r="J5" s="7">
        <v>7152</v>
      </c>
      <c r="K5" s="7">
        <v>5739</v>
      </c>
      <c r="L5" s="7">
        <v>5986</v>
      </c>
      <c r="M5" s="7">
        <v>5623</v>
      </c>
      <c r="N5" s="8">
        <v>45852</v>
      </c>
      <c r="O5" s="8"/>
      <c r="P5" s="8">
        <v>45852</v>
      </c>
      <c r="Q5">
        <f t="shared" si="1"/>
        <v>0.10349623804149238</v>
      </c>
      <c r="R5">
        <f t="shared" si="0"/>
        <v>0.10359403592297294</v>
      </c>
      <c r="S5">
        <f t="shared" si="0"/>
        <v>0.10495885969119051</v>
      </c>
      <c r="T5">
        <f t="shared" si="0"/>
        <v>2.1600292089672686E-2</v>
      </c>
      <c r="U5">
        <f t="shared" si="0"/>
        <v>2.6903110552174082E-2</v>
      </c>
      <c r="V5">
        <f t="shared" si="0"/>
        <v>2.0846161759144825E-2</v>
      </c>
      <c r="W5">
        <f t="shared" si="0"/>
        <v>1.7946997894810048E-2</v>
      </c>
      <c r="X5">
        <f t="shared" si="0"/>
        <v>1.7933958177279306E-2</v>
      </c>
      <c r="Y5">
        <f t="shared" si="0"/>
        <v>1.5543343296643431E-2</v>
      </c>
      <c r="Z5">
        <f t="shared" si="0"/>
        <v>1.2472489818153893E-2</v>
      </c>
      <c r="AA5">
        <f t="shared" si="0"/>
        <v>1.3009291523169405E-2</v>
      </c>
      <c r="AB5">
        <f t="shared" si="0"/>
        <v>1.2220388612559566E-2</v>
      </c>
    </row>
    <row r="6" spans="1:28" x14ac:dyDescent="0.25">
      <c r="A6" s="7">
        <v>273</v>
      </c>
      <c r="B6" s="7">
        <v>14414</v>
      </c>
      <c r="C6" s="7">
        <v>12004</v>
      </c>
      <c r="D6" s="7">
        <v>13597</v>
      </c>
      <c r="E6" s="7">
        <v>5977</v>
      </c>
      <c r="F6" s="7">
        <v>6078</v>
      </c>
      <c r="G6" s="7">
        <v>5928</v>
      </c>
      <c r="H6" s="7">
        <v>6178</v>
      </c>
      <c r="I6" s="7">
        <v>4762</v>
      </c>
      <c r="J6" s="7">
        <v>5176</v>
      </c>
      <c r="K6" s="7">
        <v>4785</v>
      </c>
      <c r="L6" s="7">
        <v>4394</v>
      </c>
      <c r="M6" s="7">
        <v>4756</v>
      </c>
      <c r="N6" s="8">
        <v>45852</v>
      </c>
      <c r="O6" s="8"/>
      <c r="P6" s="8">
        <v>45852</v>
      </c>
      <c r="Q6">
        <f t="shared" si="1"/>
        <v>3.1325748081350448E-2</v>
      </c>
      <c r="R6">
        <f t="shared" si="0"/>
        <v>2.6088128206502761E-2</v>
      </c>
      <c r="S6">
        <f t="shared" si="0"/>
        <v>2.9550173210914531E-2</v>
      </c>
      <c r="T6">
        <f t="shared" si="0"/>
        <v>1.2989731946873292E-2</v>
      </c>
      <c r="U6">
        <f t="shared" si="0"/>
        <v>1.3209233858640769E-2</v>
      </c>
      <c r="V6">
        <f t="shared" si="0"/>
        <v>1.2883240920372239E-2</v>
      </c>
      <c r="W6">
        <f t="shared" si="0"/>
        <v>1.342656248415312E-2</v>
      </c>
      <c r="X6">
        <f t="shared" si="0"/>
        <v>1.0349189146898212E-2</v>
      </c>
      <c r="Y6">
        <f t="shared" si="0"/>
        <v>1.1248929656519351E-2</v>
      </c>
      <c r="Z6">
        <f t="shared" si="0"/>
        <v>1.0399174730766054E-2</v>
      </c>
      <c r="AA6">
        <f t="shared" si="0"/>
        <v>9.5494198050127561E-3</v>
      </c>
      <c r="AB6">
        <f t="shared" si="0"/>
        <v>1.0336149429367471E-2</v>
      </c>
    </row>
    <row r="7" spans="1:28" x14ac:dyDescent="0.25">
      <c r="A7" s="7">
        <v>49.7</v>
      </c>
      <c r="B7" s="7">
        <v>7048</v>
      </c>
      <c r="C7" s="7">
        <v>4503</v>
      </c>
      <c r="D7" s="7">
        <v>6871</v>
      </c>
      <c r="E7" s="7">
        <v>5171</v>
      </c>
      <c r="F7" s="7">
        <v>5534</v>
      </c>
      <c r="G7" s="9"/>
      <c r="H7" s="7">
        <v>4551</v>
      </c>
      <c r="I7" s="7">
        <v>4461</v>
      </c>
      <c r="J7" s="7">
        <v>3835</v>
      </c>
      <c r="K7" s="7">
        <v>4076</v>
      </c>
      <c r="L7" s="7">
        <v>3432</v>
      </c>
      <c r="M7" s="7">
        <v>3507</v>
      </c>
      <c r="N7" s="8">
        <v>45852</v>
      </c>
      <c r="O7" s="8"/>
      <c r="P7" s="8">
        <v>45852</v>
      </c>
      <c r="Q7">
        <f t="shared" si="1"/>
        <v>1.5317321526110586E-2</v>
      </c>
      <c r="R7">
        <f t="shared" si="0"/>
        <v>9.7863080068212212E-3</v>
      </c>
      <c r="S7">
        <f t="shared" si="0"/>
        <v>1.4932649858953722E-2</v>
      </c>
      <c r="T7">
        <f t="shared" si="0"/>
        <v>1.1238063225243733E-2</v>
      </c>
      <c r="U7">
        <f t="shared" si="0"/>
        <v>1.2026966135853571E-2</v>
      </c>
      <c r="V7">
        <f t="shared" si="0"/>
        <v>0</v>
      </c>
      <c r="W7">
        <f t="shared" si="0"/>
        <v>9.8906257470671496E-3</v>
      </c>
      <c r="X7">
        <f t="shared" si="0"/>
        <v>9.6950299841060336E-3</v>
      </c>
      <c r="Y7">
        <f t="shared" si="0"/>
        <v>8.3345527883987077E-3</v>
      </c>
      <c r="Z7">
        <f t="shared" si="0"/>
        <v>8.8583147758834763E-3</v>
      </c>
      <c r="AA7">
        <f t="shared" si="0"/>
        <v>7.4587184275839288E-3</v>
      </c>
      <c r="AB7">
        <f t="shared" si="0"/>
        <v>7.6217148967181927E-3</v>
      </c>
    </row>
    <row r="8" spans="1:28" x14ac:dyDescent="0.25">
      <c r="A8" s="7">
        <v>9.0299999999999994</v>
      </c>
      <c r="B8" s="7">
        <v>8489</v>
      </c>
      <c r="C8" s="7">
        <v>7825</v>
      </c>
      <c r="D8" s="9"/>
      <c r="E8" s="7">
        <v>5314</v>
      </c>
      <c r="F8" s="7">
        <v>5395</v>
      </c>
      <c r="G8" s="7">
        <v>8153</v>
      </c>
      <c r="H8" s="7">
        <v>5551</v>
      </c>
      <c r="I8" s="7">
        <v>5997</v>
      </c>
      <c r="J8" s="7">
        <v>7574</v>
      </c>
      <c r="K8" s="7">
        <v>4735</v>
      </c>
      <c r="L8" s="7">
        <v>5414</v>
      </c>
      <c r="M8" s="7">
        <v>7518</v>
      </c>
      <c r="N8" s="8">
        <v>45852</v>
      </c>
      <c r="O8" s="8"/>
      <c r="P8" s="8">
        <v>45852</v>
      </c>
      <c r="Q8">
        <f t="shared" si="1"/>
        <v>1.8449027019743582E-2</v>
      </c>
      <c r="R8">
        <f t="shared" si="0"/>
        <v>1.7005964946341563E-2</v>
      </c>
      <c r="S8">
        <f t="shared" si="0"/>
        <v>0</v>
      </c>
      <c r="T8">
        <f t="shared" si="0"/>
        <v>1.1548843159726397E-2</v>
      </c>
      <c r="U8">
        <f t="shared" si="0"/>
        <v>1.1724879346391402E-2</v>
      </c>
      <c r="V8">
        <f t="shared" si="0"/>
        <v>1.7718802838022078E-2</v>
      </c>
      <c r="W8">
        <f t="shared" si="0"/>
        <v>1.2063912002190673E-2</v>
      </c>
      <c r="X8">
        <f t="shared" si="0"/>
        <v>1.3033197671975763E-2</v>
      </c>
      <c r="Y8">
        <f t="shared" si="0"/>
        <v>1.6460470096305559E-2</v>
      </c>
      <c r="Z8">
        <f t="shared" si="0"/>
        <v>1.0290510418009878E-2</v>
      </c>
      <c r="AA8">
        <f t="shared" si="0"/>
        <v>1.176617178523875E-2</v>
      </c>
      <c r="AB8">
        <f t="shared" si="0"/>
        <v>1.633876606601864E-2</v>
      </c>
    </row>
    <row r="9" spans="1:28" x14ac:dyDescent="0.25">
      <c r="A9" s="7">
        <v>1.64</v>
      </c>
      <c r="B9" s="7">
        <v>7037</v>
      </c>
      <c r="C9" s="7">
        <v>6768</v>
      </c>
      <c r="D9" s="7">
        <v>7252</v>
      </c>
      <c r="E9" s="7">
        <v>4915</v>
      </c>
      <c r="F9" s="7">
        <v>4871</v>
      </c>
      <c r="G9" s="7">
        <v>4689</v>
      </c>
      <c r="H9" s="7">
        <v>4776</v>
      </c>
      <c r="I9" s="7">
        <v>4881</v>
      </c>
      <c r="J9" s="7">
        <v>4592</v>
      </c>
      <c r="K9" s="7">
        <v>4506</v>
      </c>
      <c r="L9" s="7">
        <v>4462</v>
      </c>
      <c r="M9" s="7">
        <v>4591</v>
      </c>
      <c r="N9" s="8">
        <v>45852</v>
      </c>
      <c r="O9" s="8"/>
      <c r="P9" s="8">
        <v>45852</v>
      </c>
      <c r="Q9">
        <f t="shared" si="1"/>
        <v>1.5293415377304225E-2</v>
      </c>
      <c r="R9">
        <f t="shared" si="0"/>
        <v>1.4708801374675999E-2</v>
      </c>
      <c r="S9">
        <f t="shared" si="0"/>
        <v>1.5760671922155783E-2</v>
      </c>
      <c r="T9">
        <f t="shared" si="0"/>
        <v>1.0681701943932111E-2</v>
      </c>
      <c r="U9">
        <f t="shared" si="0"/>
        <v>1.0586077348706677E-2</v>
      </c>
      <c r="V9">
        <f t="shared" si="0"/>
        <v>1.0190539250274196E-2</v>
      </c>
      <c r="W9">
        <f t="shared" si="0"/>
        <v>1.0379615154469942E-2</v>
      </c>
      <c r="X9">
        <f t="shared" si="0"/>
        <v>1.0607810211257913E-2</v>
      </c>
      <c r="Y9">
        <f t="shared" si="0"/>
        <v>9.979730483527214E-3</v>
      </c>
      <c r="Z9">
        <f t="shared" si="0"/>
        <v>9.7928278655865907E-3</v>
      </c>
      <c r="AA9">
        <f t="shared" si="0"/>
        <v>9.6972032703611568E-3</v>
      </c>
      <c r="AB9">
        <f t="shared" si="0"/>
        <v>9.9775571972720908E-3</v>
      </c>
    </row>
    <row r="10" spans="1:28" x14ac:dyDescent="0.25">
      <c r="A10" t="s">
        <v>7</v>
      </c>
      <c r="B10">
        <f>AVERAGE(B2:D2)</f>
        <v>460132.66666666669</v>
      </c>
    </row>
    <row r="11" spans="1:28" x14ac:dyDescent="0.25">
      <c r="A11" s="7">
        <v>250000</v>
      </c>
      <c r="B11" s="7">
        <v>341270</v>
      </c>
      <c r="C11" s="7">
        <v>321124</v>
      </c>
      <c r="D11" s="7">
        <v>326827</v>
      </c>
      <c r="E11" s="7">
        <v>140994</v>
      </c>
      <c r="F11" s="7">
        <v>138776</v>
      </c>
      <c r="G11" s="7">
        <v>192810</v>
      </c>
      <c r="H11" s="7">
        <v>119269</v>
      </c>
      <c r="I11" s="7">
        <v>107399</v>
      </c>
      <c r="J11" s="7">
        <v>154692</v>
      </c>
      <c r="K11" s="7">
        <v>14560</v>
      </c>
      <c r="L11" s="7">
        <v>12922</v>
      </c>
      <c r="M11" s="7">
        <v>13813</v>
      </c>
      <c r="N11" s="8">
        <v>45873</v>
      </c>
      <c r="O11" s="8"/>
      <c r="P11" s="8">
        <v>45873</v>
      </c>
      <c r="Q11">
        <f>B11/$B$19</f>
        <v>1.0349658974081626</v>
      </c>
      <c r="R11">
        <f t="shared" ref="R11:AB18" si="2">C11/$B$19</f>
        <v>0.97386933758988137</v>
      </c>
      <c r="S11">
        <f t="shared" si="2"/>
        <v>0.99116476500195616</v>
      </c>
      <c r="T11">
        <f t="shared" si="2"/>
        <v>0.4275910034259281</v>
      </c>
      <c r="U11">
        <f t="shared" si="2"/>
        <v>0.4208644984285615</v>
      </c>
      <c r="V11">
        <f t="shared" si="2"/>
        <v>0.58473283523095454</v>
      </c>
      <c r="W11">
        <f t="shared" si="2"/>
        <v>0.36170582711042326</v>
      </c>
      <c r="X11">
        <f t="shared" si="2"/>
        <v>0.32570780442388508</v>
      </c>
      <c r="Y11">
        <f t="shared" si="2"/>
        <v>0.46913278225998034</v>
      </c>
      <c r="Z11">
        <f t="shared" si="2"/>
        <v>4.4155957061162272E-2</v>
      </c>
      <c r="AA11">
        <f t="shared" si="2"/>
        <v>3.9188411891781516E-2</v>
      </c>
      <c r="AB11">
        <f t="shared" si="2"/>
        <v>4.189053811029083E-2</v>
      </c>
    </row>
    <row r="12" spans="1:28" x14ac:dyDescent="0.25">
      <c r="A12" s="7">
        <v>45500</v>
      </c>
      <c r="B12" s="7">
        <v>248752</v>
      </c>
      <c r="C12" s="7">
        <v>223330</v>
      </c>
      <c r="D12" s="7">
        <v>200280</v>
      </c>
      <c r="E12" s="7">
        <v>66972</v>
      </c>
      <c r="F12" s="7">
        <v>64778</v>
      </c>
      <c r="G12" s="7">
        <v>59992</v>
      </c>
      <c r="H12" s="7">
        <v>59765</v>
      </c>
      <c r="I12" s="7">
        <v>52183</v>
      </c>
      <c r="J12" s="7">
        <v>44382</v>
      </c>
      <c r="K12" s="7">
        <v>6583</v>
      </c>
      <c r="L12" s="7">
        <v>6753</v>
      </c>
      <c r="M12" s="7">
        <v>5238</v>
      </c>
      <c r="N12" s="8">
        <v>45873</v>
      </c>
      <c r="O12" s="8"/>
      <c r="P12" s="8">
        <v>45873</v>
      </c>
      <c r="Q12">
        <f t="shared" ref="Q12:Q18" si="3">B12/$B$19</f>
        <v>0.75438754332954927</v>
      </c>
      <c r="R12">
        <f t="shared" si="2"/>
        <v>0.67729051445531385</v>
      </c>
      <c r="S12">
        <f t="shared" si="2"/>
        <v>0.60738702473966888</v>
      </c>
      <c r="T12">
        <f t="shared" si="2"/>
        <v>0.20310527172391207</v>
      </c>
      <c r="U12">
        <f t="shared" si="2"/>
        <v>0.19645155127115177</v>
      </c>
      <c r="V12">
        <f t="shared" si="2"/>
        <v>0.18193710000090982</v>
      </c>
      <c r="W12">
        <f t="shared" si="2"/>
        <v>0.18124867951650844</v>
      </c>
      <c r="X12">
        <f t="shared" si="2"/>
        <v>0.15825482879963124</v>
      </c>
      <c r="Y12">
        <f t="shared" si="2"/>
        <v>0.13459681911322141</v>
      </c>
      <c r="Z12">
        <f t="shared" si="2"/>
        <v>1.9964194047639508E-2</v>
      </c>
      <c r="AA12">
        <f t="shared" si="2"/>
        <v>2.047975123860088E-2</v>
      </c>
      <c r="AB12">
        <f t="shared" si="2"/>
        <v>1.5885226860327471E-2</v>
      </c>
    </row>
    <row r="13" spans="1:28" x14ac:dyDescent="0.25">
      <c r="A13" s="7">
        <v>8260</v>
      </c>
      <c r="B13" s="7">
        <v>78673</v>
      </c>
      <c r="C13" s="7">
        <v>73630</v>
      </c>
      <c r="D13" s="7">
        <v>56938</v>
      </c>
      <c r="E13" s="7">
        <v>16672</v>
      </c>
      <c r="F13" s="7">
        <v>14459</v>
      </c>
      <c r="G13" s="7">
        <v>12018</v>
      </c>
      <c r="H13" s="7">
        <v>13904</v>
      </c>
      <c r="I13" s="7">
        <v>12776</v>
      </c>
      <c r="J13" s="7">
        <v>10451</v>
      </c>
      <c r="K13" s="7">
        <v>3688</v>
      </c>
      <c r="L13" s="7">
        <v>3398</v>
      </c>
      <c r="M13" s="7">
        <v>3135</v>
      </c>
      <c r="N13" s="8">
        <v>45873</v>
      </c>
      <c r="O13" s="8"/>
      <c r="P13" s="8">
        <v>45873</v>
      </c>
      <c r="Q13">
        <f t="shared" si="3"/>
        <v>0.23859076990884748</v>
      </c>
      <c r="R13">
        <f t="shared" si="2"/>
        <v>0.22329691747344629</v>
      </c>
      <c r="S13">
        <f t="shared" si="2"/>
        <v>0.17267526669975669</v>
      </c>
      <c r="T13">
        <f t="shared" si="2"/>
        <v>5.0560996986517677E-2</v>
      </c>
      <c r="U13">
        <f t="shared" si="2"/>
        <v>4.3849655435944046E-2</v>
      </c>
      <c r="V13">
        <f t="shared" si="2"/>
        <v>3.6446860711610449E-2</v>
      </c>
      <c r="W13">
        <f t="shared" si="2"/>
        <v>4.216651284192309E-2</v>
      </c>
      <c r="X13">
        <f t="shared" si="2"/>
        <v>3.8745639245426455E-2</v>
      </c>
      <c r="Y13">
        <f t="shared" si="2"/>
        <v>3.1694636486690034E-2</v>
      </c>
      <c r="Z13">
        <f t="shared" si="2"/>
        <v>1.1184558354503191E-2</v>
      </c>
      <c r="AA13">
        <f t="shared" si="2"/>
        <v>1.0305078440510261E-2</v>
      </c>
      <c r="AB13">
        <f t="shared" si="2"/>
        <v>9.5074811391994314E-3</v>
      </c>
    </row>
    <row r="14" spans="1:28" x14ac:dyDescent="0.25">
      <c r="A14" s="7">
        <v>1500</v>
      </c>
      <c r="B14" s="7">
        <v>16803</v>
      </c>
      <c r="C14" s="7">
        <v>12824</v>
      </c>
      <c r="D14" s="7">
        <v>12586</v>
      </c>
      <c r="E14" s="7">
        <v>3758</v>
      </c>
      <c r="F14" s="7">
        <v>3995</v>
      </c>
      <c r="G14" s="7">
        <v>3958</v>
      </c>
      <c r="H14" s="7">
        <v>3534</v>
      </c>
      <c r="I14" s="7">
        <v>3874</v>
      </c>
      <c r="J14" s="7">
        <v>3982</v>
      </c>
      <c r="K14" s="7">
        <v>2743</v>
      </c>
      <c r="L14" s="7">
        <v>2890</v>
      </c>
      <c r="M14" s="7">
        <v>2523</v>
      </c>
      <c r="N14" s="8">
        <v>45873</v>
      </c>
      <c r="O14" s="8"/>
      <c r="P14" s="8">
        <v>45873</v>
      </c>
      <c r="Q14">
        <f t="shared" si="3"/>
        <v>5.0958279292493795E-2</v>
      </c>
      <c r="R14">
        <f t="shared" si="2"/>
        <v>3.8891208334639077E-2</v>
      </c>
      <c r="S14">
        <f t="shared" si="2"/>
        <v>3.8169428267293158E-2</v>
      </c>
      <c r="T14">
        <f t="shared" si="2"/>
        <v>1.1396846609604933E-2</v>
      </c>
      <c r="U14">
        <f t="shared" si="2"/>
        <v>1.2115593987592257E-2</v>
      </c>
      <c r="V14">
        <f t="shared" si="2"/>
        <v>1.2003384481324195E-2</v>
      </c>
      <c r="W14">
        <f t="shared" si="2"/>
        <v>1.0717524193279359E-2</v>
      </c>
      <c r="X14">
        <f t="shared" si="2"/>
        <v>1.1748638575202103E-2</v>
      </c>
      <c r="Y14">
        <f t="shared" si="2"/>
        <v>1.2076169025930505E-2</v>
      </c>
      <c r="Z14">
        <f t="shared" si="2"/>
        <v>8.3186669106296782E-3</v>
      </c>
      <c r="AA14">
        <f t="shared" si="2"/>
        <v>8.7644722463433352E-3</v>
      </c>
      <c r="AB14">
        <f t="shared" si="2"/>
        <v>7.6514752517384899E-3</v>
      </c>
    </row>
    <row r="15" spans="1:28" x14ac:dyDescent="0.25">
      <c r="A15" s="7">
        <v>273</v>
      </c>
      <c r="B15" s="7">
        <v>4411</v>
      </c>
      <c r="C15" s="7">
        <v>4668</v>
      </c>
      <c r="D15" s="7">
        <v>4357</v>
      </c>
      <c r="E15" s="7">
        <v>3168</v>
      </c>
      <c r="F15" s="7">
        <v>3028</v>
      </c>
      <c r="G15" s="7">
        <v>2572</v>
      </c>
      <c r="H15" s="7">
        <v>3051</v>
      </c>
      <c r="I15" s="7">
        <v>3013</v>
      </c>
      <c r="J15" s="7">
        <v>2930</v>
      </c>
      <c r="K15" s="7">
        <v>2738</v>
      </c>
      <c r="L15" s="7">
        <v>2746</v>
      </c>
      <c r="M15" s="7">
        <v>2578</v>
      </c>
      <c r="N15" s="8">
        <v>45873</v>
      </c>
      <c r="O15" s="8"/>
      <c r="P15" s="8">
        <v>45873</v>
      </c>
      <c r="Q15">
        <f t="shared" si="3"/>
        <v>1.3377192760768323E-2</v>
      </c>
      <c r="R15">
        <f t="shared" si="2"/>
        <v>1.4156593925927574E-2</v>
      </c>
      <c r="S15">
        <f t="shared" si="2"/>
        <v>1.3213427535404122E-2</v>
      </c>
      <c r="T15">
        <f t="shared" si="2"/>
        <v>9.6075598880331087E-3</v>
      </c>
      <c r="U15">
        <f t="shared" si="2"/>
        <v>9.1829833778296257E-3</v>
      </c>
      <c r="V15">
        <f t="shared" si="2"/>
        <v>7.8000770303097086E-3</v>
      </c>
      <c r="W15">
        <f t="shared" si="2"/>
        <v>9.2527352330773419E-3</v>
      </c>
      <c r="X15">
        <f t="shared" si="2"/>
        <v>9.1374930374506814E-3</v>
      </c>
      <c r="Y15">
        <f t="shared" si="2"/>
        <v>8.8857798206871882E-3</v>
      </c>
      <c r="Z15">
        <f t="shared" si="2"/>
        <v>8.3035034638366968E-3</v>
      </c>
      <c r="AA15">
        <f t="shared" si="2"/>
        <v>8.327764978705467E-3</v>
      </c>
      <c r="AB15">
        <f t="shared" si="2"/>
        <v>7.8182731664612863E-3</v>
      </c>
    </row>
    <row r="16" spans="1:28" x14ac:dyDescent="0.25">
      <c r="A16" s="7">
        <v>49.7</v>
      </c>
      <c r="B16" s="7">
        <v>2941</v>
      </c>
      <c r="C16" s="7">
        <v>3238</v>
      </c>
      <c r="D16" s="7">
        <v>2970</v>
      </c>
      <c r="E16" s="7">
        <v>2986</v>
      </c>
      <c r="F16" s="7">
        <v>2929</v>
      </c>
      <c r="G16" s="7">
        <v>2567</v>
      </c>
      <c r="H16" s="7">
        <v>2777</v>
      </c>
      <c r="I16" s="7">
        <v>2922</v>
      </c>
      <c r="J16" s="7">
        <v>2730</v>
      </c>
      <c r="K16" s="7">
        <v>2696</v>
      </c>
      <c r="L16" s="7">
        <v>2606</v>
      </c>
      <c r="M16" s="7">
        <v>2580</v>
      </c>
      <c r="N16" s="8">
        <v>45873</v>
      </c>
      <c r="O16" s="8"/>
      <c r="P16" s="8">
        <v>45873</v>
      </c>
      <c r="Q16">
        <f t="shared" si="3"/>
        <v>8.9191394036317474E-3</v>
      </c>
      <c r="R16">
        <f t="shared" si="2"/>
        <v>9.8198481431348503E-3</v>
      </c>
      <c r="S16">
        <f t="shared" si="2"/>
        <v>9.0070873950310396E-3</v>
      </c>
      <c r="T16">
        <f t="shared" si="2"/>
        <v>9.0556104247685818E-3</v>
      </c>
      <c r="U16">
        <f t="shared" si="2"/>
        <v>8.882747131328592E-3</v>
      </c>
      <c r="V16">
        <f t="shared" si="2"/>
        <v>7.7849135835167272E-3</v>
      </c>
      <c r="W16">
        <f t="shared" si="2"/>
        <v>8.4217783488219518E-3</v>
      </c>
      <c r="X16">
        <f t="shared" si="2"/>
        <v>8.861518305818418E-3</v>
      </c>
      <c r="Y16">
        <f t="shared" si="2"/>
        <v>8.2792419489679265E-3</v>
      </c>
      <c r="Z16">
        <f t="shared" si="2"/>
        <v>8.1761305107756511E-3</v>
      </c>
      <c r="AA16">
        <f t="shared" si="2"/>
        <v>7.903188468501984E-3</v>
      </c>
      <c r="AB16">
        <f t="shared" si="2"/>
        <v>7.8243385451784789E-3</v>
      </c>
    </row>
    <row r="17" spans="1:28" x14ac:dyDescent="0.25">
      <c r="A17" s="7">
        <v>9.0299999999999994</v>
      </c>
      <c r="B17" s="7">
        <v>2694</v>
      </c>
      <c r="C17" s="7">
        <v>2841</v>
      </c>
      <c r="D17" s="7">
        <v>2967</v>
      </c>
      <c r="E17" s="7">
        <v>3108</v>
      </c>
      <c r="F17" s="7">
        <v>2838</v>
      </c>
      <c r="G17" s="7">
        <v>2943</v>
      </c>
      <c r="H17" s="7">
        <v>2817</v>
      </c>
      <c r="I17" s="7">
        <v>2846</v>
      </c>
      <c r="J17" s="7">
        <v>2603</v>
      </c>
      <c r="K17" s="7">
        <v>2937</v>
      </c>
      <c r="L17" s="7">
        <v>2861</v>
      </c>
      <c r="M17" s="7">
        <v>2583</v>
      </c>
      <c r="N17" s="8">
        <v>45873</v>
      </c>
      <c r="O17" s="8"/>
      <c r="P17" s="8">
        <v>45873</v>
      </c>
      <c r="Q17">
        <f t="shared" si="3"/>
        <v>8.1700651320584586E-3</v>
      </c>
      <c r="R17">
        <f t="shared" si="2"/>
        <v>8.6158704677721156E-3</v>
      </c>
      <c r="S17">
        <f t="shared" si="2"/>
        <v>8.9979893269552507E-3</v>
      </c>
      <c r="T17">
        <f t="shared" si="2"/>
        <v>9.42559852651733E-3</v>
      </c>
      <c r="U17">
        <f t="shared" si="2"/>
        <v>8.6067723996963268E-3</v>
      </c>
      <c r="V17">
        <f t="shared" si="2"/>
        <v>8.9252047823489399E-3</v>
      </c>
      <c r="W17">
        <f t="shared" si="2"/>
        <v>8.5430859231658048E-3</v>
      </c>
      <c r="X17">
        <f t="shared" si="2"/>
        <v>8.631033914565097E-3</v>
      </c>
      <c r="Y17">
        <f t="shared" si="2"/>
        <v>7.8940904004261951E-3</v>
      </c>
      <c r="Z17">
        <f t="shared" si="2"/>
        <v>8.9070086461973622E-3</v>
      </c>
      <c r="AA17">
        <f t="shared" si="2"/>
        <v>8.676524254944043E-3</v>
      </c>
      <c r="AB17">
        <f t="shared" si="2"/>
        <v>7.8334366132542677E-3</v>
      </c>
    </row>
    <row r="18" spans="1:28" x14ac:dyDescent="0.25">
      <c r="A18" s="7">
        <v>1.64</v>
      </c>
      <c r="B18" s="7">
        <v>3255</v>
      </c>
      <c r="C18" s="7">
        <v>2987</v>
      </c>
      <c r="D18" s="7">
        <v>2483</v>
      </c>
      <c r="E18" s="7">
        <v>2944</v>
      </c>
      <c r="F18" s="7">
        <v>2995</v>
      </c>
      <c r="G18" s="7">
        <v>2351</v>
      </c>
      <c r="H18" s="7">
        <v>3256</v>
      </c>
      <c r="I18" s="7">
        <v>2455</v>
      </c>
      <c r="J18" s="7">
        <v>2371</v>
      </c>
      <c r="K18" s="7">
        <v>3123</v>
      </c>
      <c r="L18" s="7">
        <v>2580</v>
      </c>
      <c r="M18" s="7">
        <v>2148</v>
      </c>
      <c r="N18" s="8">
        <v>45873</v>
      </c>
      <c r="O18" s="8"/>
      <c r="P18" s="8">
        <v>45873</v>
      </c>
      <c r="Q18">
        <f t="shared" si="3"/>
        <v>9.8714038622309888E-3</v>
      </c>
      <c r="R18">
        <f t="shared" si="2"/>
        <v>9.0586431141271781E-3</v>
      </c>
      <c r="S18">
        <f t="shared" si="2"/>
        <v>7.5301676773946368E-3</v>
      </c>
      <c r="T18">
        <f t="shared" si="2"/>
        <v>8.9282374717075362E-3</v>
      </c>
      <c r="U18">
        <f t="shared" si="2"/>
        <v>9.0829046289959484E-3</v>
      </c>
      <c r="V18">
        <f t="shared" si="2"/>
        <v>7.1298526820599241E-3</v>
      </c>
      <c r="W18">
        <f t="shared" si="2"/>
        <v>9.8744365515895851E-3</v>
      </c>
      <c r="X18">
        <f t="shared" si="2"/>
        <v>7.4452523753539409E-3</v>
      </c>
      <c r="Y18">
        <f t="shared" si="2"/>
        <v>7.1905064692318506E-3</v>
      </c>
      <c r="Z18">
        <f t="shared" si="2"/>
        <v>9.471088866896276E-3</v>
      </c>
      <c r="AA18">
        <f t="shared" si="2"/>
        <v>7.8243385451784789E-3</v>
      </c>
      <c r="AB18">
        <f t="shared" si="2"/>
        <v>6.5142167422648735E-3</v>
      </c>
    </row>
    <row r="19" spans="1:28" x14ac:dyDescent="0.25">
      <c r="A19" t="s">
        <v>7</v>
      </c>
      <c r="B19">
        <f>AVERAGE(B11:D11)</f>
        <v>329740.33333333331</v>
      </c>
    </row>
    <row r="20" spans="1:28" x14ac:dyDescent="0.25">
      <c r="A20" s="7">
        <v>250000</v>
      </c>
      <c r="B20" s="7">
        <v>365220</v>
      </c>
      <c r="C20" s="7">
        <v>364034</v>
      </c>
      <c r="D20" s="7">
        <v>354843</v>
      </c>
      <c r="E20" s="7">
        <v>240016</v>
      </c>
      <c r="F20" s="7">
        <v>227468</v>
      </c>
      <c r="G20" s="7">
        <v>220104</v>
      </c>
      <c r="H20" s="7">
        <v>178712</v>
      </c>
      <c r="I20" s="7">
        <v>175336</v>
      </c>
      <c r="J20" s="7">
        <v>158472</v>
      </c>
      <c r="K20" s="7">
        <v>29884</v>
      </c>
      <c r="L20" s="7">
        <v>29740</v>
      </c>
      <c r="M20" s="7"/>
      <c r="N20" s="8">
        <v>45875</v>
      </c>
      <c r="O20" s="8"/>
      <c r="P20" s="8">
        <v>45875</v>
      </c>
      <c r="Q20">
        <f>B20/$B$28</f>
        <v>1.0106660197380861</v>
      </c>
      <c r="R20">
        <f t="shared" ref="R20:AB27" si="4">C20/$B$28</f>
        <v>1.0073840255991853</v>
      </c>
      <c r="S20">
        <f t="shared" si="4"/>
        <v>0.9819499546627285</v>
      </c>
      <c r="T20">
        <f t="shared" si="4"/>
        <v>0.66419148840002318</v>
      </c>
      <c r="U20">
        <f t="shared" si="4"/>
        <v>0.62946765833684626</v>
      </c>
      <c r="V20">
        <f t="shared" si="4"/>
        <v>0.60908940805112455</v>
      </c>
      <c r="W20">
        <f t="shared" si="4"/>
        <v>0.49454615223545489</v>
      </c>
      <c r="X20">
        <f t="shared" si="4"/>
        <v>0.48520381478779112</v>
      </c>
      <c r="Y20">
        <f t="shared" si="4"/>
        <v>0.43853640403026661</v>
      </c>
      <c r="Z20">
        <f t="shared" si="4"/>
        <v>8.2697397004142609E-2</v>
      </c>
      <c r="AA20">
        <f t="shared" si="4"/>
        <v>8.2298908676991078E-2</v>
      </c>
      <c r="AB20">
        <f t="shared" si="4"/>
        <v>0</v>
      </c>
    </row>
    <row r="21" spans="1:28" x14ac:dyDescent="0.25">
      <c r="A21" s="7">
        <v>45500</v>
      </c>
      <c r="B21" s="7">
        <v>296763</v>
      </c>
      <c r="C21" s="7">
        <v>285230</v>
      </c>
      <c r="D21" s="7">
        <v>281365</v>
      </c>
      <c r="E21" s="7">
        <v>152791</v>
      </c>
      <c r="F21" s="7">
        <v>148413</v>
      </c>
      <c r="G21" s="7">
        <v>146459</v>
      </c>
      <c r="H21" s="7">
        <v>105832</v>
      </c>
      <c r="I21" s="7">
        <v>105481</v>
      </c>
      <c r="J21" s="7">
        <v>107709</v>
      </c>
      <c r="K21" s="7">
        <v>14288</v>
      </c>
      <c r="L21" s="7">
        <v>14567</v>
      </c>
      <c r="M21" s="7">
        <v>12596</v>
      </c>
      <c r="N21" s="8">
        <v>45875</v>
      </c>
      <c r="O21" s="8"/>
      <c r="P21" s="8">
        <v>45875</v>
      </c>
      <c r="Q21">
        <f t="shared" ref="Q21:Q27" si="5">B21/$B$28</f>
        <v>0.82122632937827511</v>
      </c>
      <c r="R21">
        <f t="shared" si="4"/>
        <v>0.78931128856550659</v>
      </c>
      <c r="S21">
        <f t="shared" si="4"/>
        <v>0.7786157511735573</v>
      </c>
      <c r="T21">
        <f t="shared" si="4"/>
        <v>0.42281548606812858</v>
      </c>
      <c r="U21">
        <f t="shared" si="4"/>
        <v>0.410700334010702</v>
      </c>
      <c r="V21">
        <f t="shared" si="4"/>
        <v>0.40529306879365956</v>
      </c>
      <c r="W21">
        <f t="shared" si="4"/>
        <v>0.2928667822159825</v>
      </c>
      <c r="X21">
        <f t="shared" si="4"/>
        <v>0.29189546691855062</v>
      </c>
      <c r="Y21">
        <f t="shared" si="4"/>
        <v>0.29806096686920081</v>
      </c>
      <c r="Z21">
        <f t="shared" si="4"/>
        <v>3.9538897349591408E-2</v>
      </c>
      <c r="AA21">
        <f t="shared" si="4"/>
        <v>4.0310968483447514E-2</v>
      </c>
      <c r="AB21">
        <f t="shared" si="4"/>
        <v>3.4856659505560848E-2</v>
      </c>
    </row>
    <row r="22" spans="1:28" x14ac:dyDescent="0.25">
      <c r="A22" s="7">
        <v>8260</v>
      </c>
      <c r="B22" s="7">
        <v>142971</v>
      </c>
      <c r="C22" s="7">
        <v>139438</v>
      </c>
      <c r="D22" s="7">
        <v>143757</v>
      </c>
      <c r="E22" s="7">
        <v>49078</v>
      </c>
      <c r="F22" s="7">
        <v>43992</v>
      </c>
      <c r="G22" s="7">
        <v>45793</v>
      </c>
      <c r="H22" s="7">
        <v>35413</v>
      </c>
      <c r="I22" s="7">
        <v>31579</v>
      </c>
      <c r="J22" s="7">
        <v>36081</v>
      </c>
      <c r="K22" s="7">
        <v>5771</v>
      </c>
      <c r="L22" s="7">
        <v>5761</v>
      </c>
      <c r="M22" s="7">
        <v>5376</v>
      </c>
      <c r="N22" s="8">
        <v>45875</v>
      </c>
      <c r="O22" s="8"/>
      <c r="P22" s="8">
        <v>45875</v>
      </c>
      <c r="Q22">
        <f t="shared" si="5"/>
        <v>0.39564079598043345</v>
      </c>
      <c r="R22">
        <f t="shared" si="4"/>
        <v>0.38586399556497247</v>
      </c>
      <c r="S22">
        <f t="shared" si="4"/>
        <v>0.39781587809946894</v>
      </c>
      <c r="T22">
        <f t="shared" si="4"/>
        <v>0.13581257027738292</v>
      </c>
      <c r="U22">
        <f t="shared" si="4"/>
        <v>0.1217381839447946</v>
      </c>
      <c r="V22">
        <f t="shared" si="4"/>
        <v>0.12672205531423847</v>
      </c>
      <c r="W22">
        <f t="shared" si="4"/>
        <v>9.7997688398731839E-2</v>
      </c>
      <c r="X22">
        <f t="shared" si="4"/>
        <v>8.7387936688322163E-2</v>
      </c>
      <c r="Y22">
        <f t="shared" si="4"/>
        <v>9.9846231471907035E-2</v>
      </c>
      <c r="Z22">
        <f t="shared" si="4"/>
        <v>1.5969973166607785E-2</v>
      </c>
      <c r="AA22">
        <f t="shared" si="4"/>
        <v>1.5942300366111151E-2</v>
      </c>
      <c r="AB22">
        <f t="shared" si="4"/>
        <v>1.487689754699072E-2</v>
      </c>
    </row>
    <row r="23" spans="1:28" x14ac:dyDescent="0.25">
      <c r="A23" s="7">
        <v>1500</v>
      </c>
      <c r="B23" s="7">
        <v>30550</v>
      </c>
      <c r="C23" s="7">
        <v>27849</v>
      </c>
      <c r="D23" s="7">
        <v>28794</v>
      </c>
      <c r="E23" s="7">
        <v>9443</v>
      </c>
      <c r="F23" s="7">
        <v>7022</v>
      </c>
      <c r="G23" s="7">
        <v>7538</v>
      </c>
      <c r="H23" s="7">
        <v>6598</v>
      </c>
      <c r="I23" s="7">
        <v>5988</v>
      </c>
      <c r="J23" s="7">
        <v>5860</v>
      </c>
      <c r="K23" s="7">
        <v>2951</v>
      </c>
      <c r="L23" s="7">
        <v>3113</v>
      </c>
      <c r="M23" s="7">
        <v>3244</v>
      </c>
      <c r="N23" s="8">
        <v>45875</v>
      </c>
      <c r="O23" s="8"/>
      <c r="P23" s="8">
        <v>45875</v>
      </c>
      <c r="Q23">
        <f t="shared" si="5"/>
        <v>8.4540405517218475E-2</v>
      </c>
      <c r="R23">
        <f t="shared" si="4"/>
        <v>7.7065982103077482E-2</v>
      </c>
      <c r="S23">
        <f t="shared" si="4"/>
        <v>7.9681061750009455E-2</v>
      </c>
      <c r="T23">
        <f t="shared" si="4"/>
        <v>2.6131425508971982E-2</v>
      </c>
      <c r="U23">
        <f t="shared" si="4"/>
        <v>1.9431840508736763E-2</v>
      </c>
      <c r="V23">
        <f t="shared" si="4"/>
        <v>2.0859757014363104E-2</v>
      </c>
      <c r="W23">
        <f t="shared" si="4"/>
        <v>1.8258513767679459E-2</v>
      </c>
      <c r="X23">
        <f t="shared" si="4"/>
        <v>1.6570472937384752E-2</v>
      </c>
      <c r="Y23">
        <f t="shared" si="4"/>
        <v>1.621626109102783E-2</v>
      </c>
      <c r="Z23">
        <f t="shared" si="4"/>
        <v>8.166243426556849E-3</v>
      </c>
      <c r="AA23">
        <f t="shared" si="4"/>
        <v>8.6145427946023277E-3</v>
      </c>
      <c r="AB23">
        <f t="shared" si="4"/>
        <v>8.9770564811082407E-3</v>
      </c>
    </row>
    <row r="24" spans="1:28" x14ac:dyDescent="0.25">
      <c r="A24" s="7">
        <v>273</v>
      </c>
      <c r="B24" s="7">
        <v>7038</v>
      </c>
      <c r="C24" s="7">
        <v>6917</v>
      </c>
      <c r="D24" s="7">
        <v>6457</v>
      </c>
      <c r="E24" s="7">
        <v>3914</v>
      </c>
      <c r="F24" s="7">
        <v>3660</v>
      </c>
      <c r="G24" s="7">
        <v>3425</v>
      </c>
      <c r="H24" s="7">
        <v>3415</v>
      </c>
      <c r="I24" s="7">
        <v>3260</v>
      </c>
      <c r="J24" s="7">
        <v>3156</v>
      </c>
      <c r="K24" s="7">
        <v>2790</v>
      </c>
      <c r="L24" s="7">
        <v>3080</v>
      </c>
      <c r="M24" s="7">
        <v>2236</v>
      </c>
      <c r="N24" s="8">
        <v>45875</v>
      </c>
      <c r="O24" s="8"/>
      <c r="P24" s="8">
        <v>45875</v>
      </c>
      <c r="Q24">
        <f t="shared" si="5"/>
        <v>1.9476116989531379E-2</v>
      </c>
      <c r="R24">
        <f t="shared" si="4"/>
        <v>1.9141276103522099E-2</v>
      </c>
      <c r="S24">
        <f t="shared" si="4"/>
        <v>1.7868327280676912E-2</v>
      </c>
      <c r="T24">
        <f t="shared" si="4"/>
        <v>1.0831134114382752E-2</v>
      </c>
      <c r="U24">
        <f t="shared" si="4"/>
        <v>1.0128244981768236E-2</v>
      </c>
      <c r="V24">
        <f t="shared" si="4"/>
        <v>9.4779341700973255E-3</v>
      </c>
      <c r="W24">
        <f t="shared" si="4"/>
        <v>9.4502613696006901E-3</v>
      </c>
      <c r="X24">
        <f t="shared" si="4"/>
        <v>9.0213329619028542E-3</v>
      </c>
      <c r="Y24">
        <f t="shared" si="4"/>
        <v>8.7335358367378567E-3</v>
      </c>
      <c r="Z24">
        <f t="shared" si="4"/>
        <v>7.7207113385610324E-3</v>
      </c>
      <c r="AA24">
        <f t="shared" si="4"/>
        <v>8.5232225529634342E-3</v>
      </c>
      <c r="AB24">
        <f t="shared" si="4"/>
        <v>6.1876381910474796E-3</v>
      </c>
    </row>
    <row r="25" spans="1:28" x14ac:dyDescent="0.25">
      <c r="A25" s="7">
        <v>49.7</v>
      </c>
      <c r="B25" s="7">
        <v>3398</v>
      </c>
      <c r="C25" s="7">
        <v>3501</v>
      </c>
      <c r="D25" s="7">
        <v>3592</v>
      </c>
      <c r="E25" s="7">
        <v>3162</v>
      </c>
      <c r="F25" s="7">
        <v>3228</v>
      </c>
      <c r="G25" s="7">
        <v>3104</v>
      </c>
      <c r="H25" s="7">
        <v>3020</v>
      </c>
      <c r="I25" s="7">
        <v>3083</v>
      </c>
      <c r="J25" s="7">
        <v>3063</v>
      </c>
      <c r="K25" s="7">
        <v>2830</v>
      </c>
      <c r="L25" s="7">
        <v>2945</v>
      </c>
      <c r="M25" s="7">
        <v>2563</v>
      </c>
      <c r="N25" s="8">
        <v>45875</v>
      </c>
      <c r="O25" s="8"/>
      <c r="P25" s="8">
        <v>45875</v>
      </c>
      <c r="Q25">
        <f t="shared" si="5"/>
        <v>9.4032176087564118E-3</v>
      </c>
      <c r="R25">
        <f t="shared" si="4"/>
        <v>9.6882474538717463E-3</v>
      </c>
      <c r="S25">
        <f t="shared" si="4"/>
        <v>9.940069938391121E-3</v>
      </c>
      <c r="T25">
        <f t="shared" si="4"/>
        <v>8.7501395170358365E-3</v>
      </c>
      <c r="U25">
        <f t="shared" si="4"/>
        <v>8.9327800003136254E-3</v>
      </c>
      <c r="V25">
        <f t="shared" si="4"/>
        <v>8.5896372741553571E-3</v>
      </c>
      <c r="W25">
        <f t="shared" si="4"/>
        <v>8.3571857499836269E-3</v>
      </c>
      <c r="X25">
        <f t="shared" si="4"/>
        <v>8.5315243931124232E-3</v>
      </c>
      <c r="Y25">
        <f t="shared" si="4"/>
        <v>8.4761787921191541E-3</v>
      </c>
      <c r="Z25">
        <f t="shared" si="4"/>
        <v>7.8314025405475697E-3</v>
      </c>
      <c r="AA25">
        <f t="shared" si="4"/>
        <v>8.1496397462588674E-3</v>
      </c>
      <c r="AB25">
        <f t="shared" si="4"/>
        <v>7.0925387672874287E-3</v>
      </c>
    </row>
    <row r="26" spans="1:28" x14ac:dyDescent="0.25">
      <c r="A26" s="7">
        <v>9.0299999999999994</v>
      </c>
      <c r="B26" s="7">
        <v>3001</v>
      </c>
      <c r="C26" s="7">
        <v>2919</v>
      </c>
      <c r="D26" s="7">
        <v>3216</v>
      </c>
      <c r="E26" s="7">
        <v>3002</v>
      </c>
      <c r="F26" s="7">
        <v>2933</v>
      </c>
      <c r="G26" s="7">
        <v>3129</v>
      </c>
      <c r="H26" s="7">
        <v>2966</v>
      </c>
      <c r="I26" s="7">
        <v>2889</v>
      </c>
      <c r="J26" s="7">
        <v>2970</v>
      </c>
      <c r="K26" s="7">
        <v>2935</v>
      </c>
      <c r="L26" s="7">
        <v>2882</v>
      </c>
      <c r="M26" s="7">
        <v>2985</v>
      </c>
      <c r="N26" s="8">
        <v>45875</v>
      </c>
      <c r="O26" s="8"/>
      <c r="P26" s="8">
        <v>45875</v>
      </c>
      <c r="Q26">
        <f t="shared" si="5"/>
        <v>8.3046074290400208E-3</v>
      </c>
      <c r="R26">
        <f t="shared" si="4"/>
        <v>8.0776904649676184E-3</v>
      </c>
      <c r="S26">
        <f t="shared" si="4"/>
        <v>8.8995726397176639E-3</v>
      </c>
      <c r="T26">
        <f t="shared" si="4"/>
        <v>8.3073747090896839E-3</v>
      </c>
      <c r="U26">
        <f t="shared" si="4"/>
        <v>8.1164323856629059E-3</v>
      </c>
      <c r="V26">
        <f t="shared" si="4"/>
        <v>8.658819275396943E-3</v>
      </c>
      <c r="W26">
        <f t="shared" si="4"/>
        <v>8.2077526273017995E-3</v>
      </c>
      <c r="X26">
        <f t="shared" si="4"/>
        <v>7.9946720634777139E-3</v>
      </c>
      <c r="Y26">
        <f t="shared" si="4"/>
        <v>8.2188217475004533E-3</v>
      </c>
      <c r="Z26">
        <f t="shared" si="4"/>
        <v>8.1219669457622337E-3</v>
      </c>
      <c r="AA26">
        <f t="shared" si="4"/>
        <v>7.9753011031300693E-3</v>
      </c>
      <c r="AB26">
        <f t="shared" si="4"/>
        <v>8.2603309482454056E-3</v>
      </c>
    </row>
    <row r="27" spans="1:28" x14ac:dyDescent="0.25">
      <c r="A27" s="7">
        <v>1.64</v>
      </c>
      <c r="B27" s="7">
        <v>3311</v>
      </c>
      <c r="C27" s="7">
        <v>2859</v>
      </c>
      <c r="D27" s="7">
        <v>2879</v>
      </c>
      <c r="E27" s="7">
        <v>3336</v>
      </c>
      <c r="F27" s="7">
        <v>3185</v>
      </c>
      <c r="G27" s="7">
        <v>2927</v>
      </c>
      <c r="H27" s="7">
        <v>3039</v>
      </c>
      <c r="I27" s="7">
        <v>2987</v>
      </c>
      <c r="J27" s="7">
        <v>3074</v>
      </c>
      <c r="K27" s="7">
        <v>2947</v>
      </c>
      <c r="L27" s="7">
        <v>3030</v>
      </c>
      <c r="M27" s="7">
        <v>2794</v>
      </c>
      <c r="N27" s="8">
        <v>45875</v>
      </c>
      <c r="O27" s="8"/>
      <c r="P27" s="8">
        <v>45875</v>
      </c>
      <c r="Q27">
        <f t="shared" si="5"/>
        <v>9.1624642444356908E-3</v>
      </c>
      <c r="R27">
        <f t="shared" si="4"/>
        <v>7.9116536619878112E-3</v>
      </c>
      <c r="S27">
        <f t="shared" si="4"/>
        <v>7.9669992629810803E-3</v>
      </c>
      <c r="T27">
        <f t="shared" si="4"/>
        <v>9.2316462456772767E-3</v>
      </c>
      <c r="U27">
        <f t="shared" si="4"/>
        <v>8.8137869581780964E-3</v>
      </c>
      <c r="V27">
        <f t="shared" si="4"/>
        <v>8.0998287053649261E-3</v>
      </c>
      <c r="W27">
        <f t="shared" si="4"/>
        <v>8.4097640709272312E-3</v>
      </c>
      <c r="X27">
        <f t="shared" si="4"/>
        <v>8.2658655083447333E-3</v>
      </c>
      <c r="Y27">
        <f t="shared" si="4"/>
        <v>8.5066188726654526E-3</v>
      </c>
      <c r="Z27">
        <f t="shared" si="4"/>
        <v>8.1551743063581952E-3</v>
      </c>
      <c r="AA27">
        <f t="shared" si="4"/>
        <v>8.3848585504802606E-3</v>
      </c>
      <c r="AB27">
        <f t="shared" si="4"/>
        <v>7.7317804587596862E-3</v>
      </c>
    </row>
    <row r="28" spans="1:28" x14ac:dyDescent="0.25">
      <c r="A28" t="s">
        <v>7</v>
      </c>
      <c r="B28">
        <f>AVERAGE(B20:D20)</f>
        <v>361365.66666666669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D42C-8056-4D57-8B44-5CDBC9EA4BF5}">
  <dimension ref="A1:F4"/>
  <sheetViews>
    <sheetView workbookViewId="0">
      <selection activeCell="J6" sqref="J6"/>
    </sheetView>
  </sheetViews>
  <sheetFormatPr defaultRowHeight="15" x14ac:dyDescent="0.25"/>
  <sheetData>
    <row r="1" spans="1:6" x14ac:dyDescent="0.25">
      <c r="A1" t="s">
        <v>19</v>
      </c>
      <c r="B1" t="s">
        <v>6</v>
      </c>
      <c r="C1" t="s">
        <v>2</v>
      </c>
      <c r="D1" t="s">
        <v>3</v>
      </c>
      <c r="E1" t="s">
        <v>4</v>
      </c>
      <c r="F1" t="s">
        <v>20</v>
      </c>
    </row>
    <row r="2" spans="1:6" x14ac:dyDescent="0.25">
      <c r="A2" t="s">
        <v>11</v>
      </c>
      <c r="B2">
        <v>5.5659999999999998E-3</v>
      </c>
      <c r="C2">
        <v>-0.3221</v>
      </c>
      <c r="D2">
        <v>-0.48859999999999998</v>
      </c>
      <c r="E2">
        <v>-0.71240000000000003</v>
      </c>
      <c r="F2" s="8">
        <v>45852</v>
      </c>
    </row>
    <row r="3" spans="1:6" x14ac:dyDescent="0.25">
      <c r="A3" t="s">
        <v>12</v>
      </c>
      <c r="B3">
        <v>6.547E-2</v>
      </c>
      <c r="C3">
        <v>-0.2288</v>
      </c>
      <c r="D3">
        <v>-0.29909999999999998</v>
      </c>
      <c r="E3">
        <v>-1.1779999999999999</v>
      </c>
      <c r="F3" s="8">
        <v>45873</v>
      </c>
    </row>
    <row r="4" spans="1:6" x14ac:dyDescent="0.25">
      <c r="A4" t="s">
        <v>13</v>
      </c>
      <c r="B4">
        <v>2.376E-2</v>
      </c>
      <c r="C4">
        <v>-0.1757</v>
      </c>
      <c r="D4">
        <v>-0.31979999999999997</v>
      </c>
      <c r="E4">
        <v>-0.9587</v>
      </c>
      <c r="F4" s="8">
        <v>45875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0F40-522E-426A-8DDB-2B8B5F652FB5}">
  <dimension ref="A1:C13"/>
  <sheetViews>
    <sheetView tabSelected="1" workbookViewId="0">
      <selection activeCell="B23" sqref="B23"/>
    </sheetView>
  </sheetViews>
  <sheetFormatPr defaultRowHeight="15" x14ac:dyDescent="0.25"/>
  <cols>
    <col min="1" max="3" width="28.28515625" customWidth="1"/>
    <col min="4" max="4" width="12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10</v>
      </c>
      <c r="B2" t="s">
        <v>9</v>
      </c>
      <c r="C2" t="s">
        <v>11</v>
      </c>
    </row>
    <row r="3" spans="1:3" x14ac:dyDescent="0.25">
      <c r="A3" t="s">
        <v>14</v>
      </c>
      <c r="B3" t="s">
        <v>9</v>
      </c>
      <c r="C3" t="s">
        <v>11</v>
      </c>
    </row>
    <row r="4" spans="1:3" x14ac:dyDescent="0.25">
      <c r="A4" t="s">
        <v>15</v>
      </c>
      <c r="B4" t="s">
        <v>9</v>
      </c>
      <c r="C4" t="s">
        <v>11</v>
      </c>
    </row>
    <row r="5" spans="1:3" x14ac:dyDescent="0.25">
      <c r="A5" t="s">
        <v>16</v>
      </c>
      <c r="B5" t="s">
        <v>9</v>
      </c>
      <c r="C5" t="s">
        <v>11</v>
      </c>
    </row>
    <row r="6" spans="1:3" x14ac:dyDescent="0.25">
      <c r="A6" t="s">
        <v>10</v>
      </c>
      <c r="B6" t="s">
        <v>9</v>
      </c>
      <c r="C6" t="s">
        <v>12</v>
      </c>
    </row>
    <row r="7" spans="1:3" x14ac:dyDescent="0.25">
      <c r="A7" t="s">
        <v>14</v>
      </c>
      <c r="B7" t="s">
        <v>9</v>
      </c>
      <c r="C7" t="s">
        <v>12</v>
      </c>
    </row>
    <row r="8" spans="1:3" x14ac:dyDescent="0.25">
      <c r="A8" t="s">
        <v>15</v>
      </c>
      <c r="B8" t="s">
        <v>9</v>
      </c>
      <c r="C8" t="s">
        <v>12</v>
      </c>
    </row>
    <row r="9" spans="1:3" x14ac:dyDescent="0.25">
      <c r="A9" t="s">
        <v>16</v>
      </c>
      <c r="B9" t="s">
        <v>9</v>
      </c>
      <c r="C9" t="s">
        <v>12</v>
      </c>
    </row>
    <row r="10" spans="1:3" x14ac:dyDescent="0.25">
      <c r="A10" t="s">
        <v>10</v>
      </c>
      <c r="B10" t="s">
        <v>9</v>
      </c>
      <c r="C10" t="s">
        <v>13</v>
      </c>
    </row>
    <row r="11" spans="1:3" x14ac:dyDescent="0.25">
      <c r="A11" t="s">
        <v>14</v>
      </c>
      <c r="B11" t="s">
        <v>9</v>
      </c>
      <c r="C11" t="s">
        <v>13</v>
      </c>
    </row>
    <row r="12" spans="1:3" x14ac:dyDescent="0.25">
      <c r="A12" t="s">
        <v>15</v>
      </c>
      <c r="B12" t="s">
        <v>9</v>
      </c>
      <c r="C12" t="s">
        <v>13</v>
      </c>
    </row>
    <row r="13" spans="1:3" x14ac:dyDescent="0.25">
      <c r="A13" t="s">
        <v>16</v>
      </c>
      <c r="B13" t="s">
        <v>9</v>
      </c>
      <c r="C13" t="s">
        <v>13</v>
      </c>
    </row>
  </sheetData>
  <sortState xmlns:xlrd2="http://schemas.microsoft.com/office/spreadsheetml/2017/richdata2" ref="C2:E14">
    <sortCondition ref="E2:E1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8e349f-c68d-46ce-94ba-6d0e8d23db64}" enabled="1" method="Standard" siteId="{7b7466bb-fe1d-47a0-b943-8ded565c8e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normalized_data</vt:lpstr>
      <vt:lpstr>emax_from_prism</vt:lpstr>
      <vt:lpstr>avg_p1111_model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Tereshko</dc:creator>
  <cp:lastModifiedBy>Lauren Tereshko</cp:lastModifiedBy>
  <dcterms:created xsi:type="dcterms:W3CDTF">2026-06-04T18:42:11Z</dcterms:created>
  <dcterms:modified xsi:type="dcterms:W3CDTF">2026-06-04T19:17:30Z</dcterms:modified>
</cp:coreProperties>
</file>